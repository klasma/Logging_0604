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46312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46312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46312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46312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46312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46312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46312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46312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46312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46312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46312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46312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46312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46312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46312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46312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46312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10301-2024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46312</v>
      </c>
      <c r="F23" t="inlineStr">
        <is>
          <t>JÖNKÖPINGS LÄN</t>
        </is>
      </c>
      <c r="G23" t="inlineStr">
        <is>
          <t>ANEBY</t>
        </is>
      </c>
      <c r="H23" t="inlineStr">
        <is>
          <t>Sveaskog</t>
        </is>
      </c>
      <c r="I23" t="n">
        <v>2.7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Grönvit nattviol</t>
        </is>
      </c>
      <c r="W23">
        <f>HYPERLINK("https://klasma.github.io/Logging_0604/artfynd/A 10301-2024 artfynd.xlsx", "A 10301-2024")</f>
        <v/>
      </c>
      <c r="X23">
        <f>HYPERLINK("https://klasma.github.io/Logging_0604/kartor/A 10301-2024 karta.png", "A 10301-2024")</f>
        <v/>
      </c>
      <c r="Y23">
        <f>HYPERLINK("https://klasma.github.io/Logging_0604/kartor_geotiff/A 10301-2024 georefererad karta.tif", "A 10301-2024")</f>
        <v/>
      </c>
      <c r="AA23">
        <f>HYPERLINK("https://klasma.github.io/Logging_0604/klagomål/A 10301-2024 FSC-klagomål.docx", "A 10301-2024")</f>
        <v/>
      </c>
      <c r="AB23">
        <f>HYPERLINK("https://klasma.github.io/Logging_0604/klagomålsmail/A 10301-2024 FSC-klagomål mail.docx", "A 10301-2024")</f>
        <v/>
      </c>
      <c r="AC23">
        <f>HYPERLINK("https://klasma.github.io/Logging_0604/tillsyn/A 10301-2024 tillsynsbegäran.docx", "A 10301-2024")</f>
        <v/>
      </c>
      <c r="AD23">
        <f>HYPERLINK("https://klasma.github.io/Logging_0604/tillsynsmail/A 10301-2024 tillsynsbegäran mail.docx", "A 10301-2024")</f>
        <v/>
      </c>
      <c r="AE23">
        <f>HYPERLINK("https://klasma.github.io/Logging_0604/fåglar/A 10301-2024 prioriterade fågelarter.docx", "A 10301-2024")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46312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46312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46312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46312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46312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46312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46312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25875-2024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45467</v>
      </c>
      <c r="E31" s="1" t="n">
        <v>46312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HYPERLINK("https://klasma.github.io/Logging_0604/artfynd/A 25875-2024 artfynd.xlsx", "A 25875-2024")</f>
        <v/>
      </c>
      <c r="X31">
        <f>HYPERLINK("https://klasma.github.io/Logging_0604/kartor/A 25875-2024 karta.png", "A 25875-2024")</f>
        <v/>
      </c>
      <c r="Y31">
        <f>HYPERLINK("https://klasma.github.io/Logging_0604/kartor_geotiff/A 25875-2024 georefererad karta.tif", "A 25875-2024")</f>
        <v/>
      </c>
      <c r="AA31">
        <f>HYPERLINK("https://klasma.github.io/Logging_0604/klagomål/A 25875-2024 FSC-klagomål.docx", "A 25875-2024")</f>
        <v/>
      </c>
      <c r="AB31">
        <f>HYPERLINK("https://klasma.github.io/Logging_0604/klagomålsmail/A 25875-2024 FSC-klagomål mail.docx", "A 25875-2024")</f>
        <v/>
      </c>
      <c r="AC31">
        <f>HYPERLINK("https://klasma.github.io/Logging_0604/tillsyn/A 25875-2024 tillsynsbegäran.docx", "A 25875-2024")</f>
        <v/>
      </c>
      <c r="AD31">
        <f>HYPERLINK("https://klasma.github.io/Logging_0604/tillsynsmail/A 25875-2024 tillsynsbegäran mail.docx", "A 25875-2024")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46312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24863-2024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45461</v>
      </c>
      <c r="E33" s="1" t="n">
        <v>46312</v>
      </c>
      <c r="F33" t="inlineStr">
        <is>
          <t>JÖNKÖPINGS LÄN</t>
        </is>
      </c>
      <c r="G33" t="inlineStr">
        <is>
          <t>ANEBY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Järpe</t>
        </is>
      </c>
      <c r="W33">
        <f>HYPERLINK("https://klasma.github.io/Logging_0604/artfynd/A 24863-2024 artfynd.xlsx", "A 24863-2024")</f>
        <v/>
      </c>
      <c r="X33">
        <f>HYPERLINK("https://klasma.github.io/Logging_0604/kartor/A 24863-2024 karta.png", "A 24863-2024")</f>
        <v/>
      </c>
      <c r="Y33">
        <f>HYPERLINK("https://klasma.github.io/Logging_0604/kartor_geotiff/A 24863-2024 georefererad karta.tif", "A 24863-2024")</f>
        <v/>
      </c>
      <c r="AA33">
        <f>HYPERLINK("https://klasma.github.io/Logging_0604/klagomål/A 24863-2024 FSC-klagomål.docx", "A 24863-2024")</f>
        <v/>
      </c>
      <c r="AB33">
        <f>HYPERLINK("https://klasma.github.io/Logging_0604/klagomålsmail/A 24863-2024 FSC-klagomål mail.docx", "A 24863-2024")</f>
        <v/>
      </c>
      <c r="AC33">
        <f>HYPERLINK("https://klasma.github.io/Logging_0604/tillsyn/A 24863-2024 tillsynsbegäran.docx", "A 24863-2024")</f>
        <v/>
      </c>
      <c r="AD33">
        <f>HYPERLINK("https://klasma.github.io/Logging_0604/tillsynsmail/A 24863-2024 tillsynsbegäran mail.docx", "A 24863-2024")</f>
        <v/>
      </c>
      <c r="AE33">
        <f>HYPERLINK("https://klasma.github.io/Logging_0604/fåglar/A 24863-2024 prioriterade fågelarter.docx", "A 24863-2024")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46312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48560-2025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45936</v>
      </c>
      <c r="E35" s="1" t="n">
        <v>46312</v>
      </c>
      <c r="F35" t="inlineStr">
        <is>
          <t>JÖNKÖPINGS LÄN</t>
        </is>
      </c>
      <c r="G35" t="inlineStr">
        <is>
          <t>ANEBY</t>
        </is>
      </c>
      <c r="I35" t="n">
        <v>0.4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Dofttaggsvamp</t>
        </is>
      </c>
      <c r="W35">
        <f>HYPERLINK("https://klasma.github.io/Logging_0604/artfynd/A 48560-2025 artfynd.xlsx", "A 48560-2025")</f>
        <v/>
      </c>
      <c r="X35">
        <f>HYPERLINK("https://klasma.github.io/Logging_0604/kartor/A 48560-2025 karta.png", "A 48560-2025")</f>
        <v/>
      </c>
      <c r="Y35">
        <f>HYPERLINK("https://klasma.github.io/Logging_0604/kartor_geotiff/A 48560-2025 georefererad karta.tif", "A 48560-2025")</f>
        <v/>
      </c>
      <c r="AA35">
        <f>HYPERLINK("https://klasma.github.io/Logging_0604/klagomål/A 48560-2025 FSC-klagomål.docx", "A 48560-2025")</f>
        <v/>
      </c>
      <c r="AB35">
        <f>HYPERLINK("https://klasma.github.io/Logging_0604/klagomålsmail/A 48560-2025 FSC-klagomål mail.docx", "A 48560-2025")</f>
        <v/>
      </c>
      <c r="AC35">
        <f>HYPERLINK("https://klasma.github.io/Logging_0604/tillsyn/A 48560-2025 tillsynsbegäran.docx", "A 48560-2025")</f>
        <v/>
      </c>
      <c r="AD35">
        <f>HYPERLINK("https://klasma.github.io/Logging_0604/tillsynsmail/A 48560-2025 tillsynsbegäran mail.docx", "A 48560-2025")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46312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46312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46312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46312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46312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46312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46312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46312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46312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40897-2024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45558</v>
      </c>
      <c r="E45" s="1" t="n">
        <v>46312</v>
      </c>
      <c r="F45" t="inlineStr">
        <is>
          <t>JÖNKÖPINGS LÄN</t>
        </is>
      </c>
      <c r="G45" t="inlineStr">
        <is>
          <t>ANEBY</t>
        </is>
      </c>
      <c r="I45" t="n">
        <v>3.3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Fläckmaskros</t>
        </is>
      </c>
      <c r="W45">
        <f>HYPERLINK("https://klasma.github.io/Logging_0604/artfynd/A 40897-2024 artfynd.xlsx", "A 40897-2024")</f>
        <v/>
      </c>
      <c r="X45">
        <f>HYPERLINK("https://klasma.github.io/Logging_0604/kartor/A 40897-2024 karta.png", "A 40897-2024")</f>
        <v/>
      </c>
      <c r="Y45">
        <f>HYPERLINK("https://klasma.github.io/Logging_0604/kartor_geotiff/A 40897-2024 georefererad karta.tif", "A 40897-2024")</f>
        <v/>
      </c>
      <c r="AA45">
        <f>HYPERLINK("https://klasma.github.io/Logging_0604/klagomål/A 40897-2024 FSC-klagomål.docx", "A 40897-2024")</f>
        <v/>
      </c>
      <c r="AB45">
        <f>HYPERLINK("https://klasma.github.io/Logging_0604/klagomålsmail/A 40897-2024 FSC-klagomål mail.docx", "A 40897-2024")</f>
        <v/>
      </c>
      <c r="AC45">
        <f>HYPERLINK("https://klasma.github.io/Logging_0604/tillsyn/A 40897-2024 tillsynsbegäran.docx", "A 40897-2024")</f>
        <v/>
      </c>
      <c r="AD45">
        <f>HYPERLINK("https://klasma.github.io/Logging_0604/tillsynsmail/A 40897-2024 tillsynsbegäran mail.docx", "A 40897-2024")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46312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46312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46312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46312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46312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46312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46312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46312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46312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46312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46312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46312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46312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46312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46312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46312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46312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46312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46312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46312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46312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46312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46312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46312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46312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46312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46312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46312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46312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46312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46312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46312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46312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46312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46312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46312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46312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46312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45126</v>
      </c>
      <c r="E85" s="1" t="n">
        <v>46312</v>
      </c>
      <c r="F85" t="inlineStr">
        <is>
          <t>JÖNKÖPINGS LÄN</t>
        </is>
      </c>
      <c r="G85" t="inlineStr">
        <is>
          <t>ANEBY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46312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46312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46312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45122</v>
      </c>
      <c r="E89" s="1" t="n">
        <v>46312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46312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46312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46312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46312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46312</v>
      </c>
      <c r="F94" t="inlineStr">
        <is>
          <t>JÖNKÖPINGS LÄN</t>
        </is>
      </c>
      <c r="G94" t="inlineStr">
        <is>
          <t>ANEBY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46312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46312</v>
      </c>
      <c r="F96" t="inlineStr">
        <is>
          <t>JÖNKÖPINGS LÄN</t>
        </is>
      </c>
      <c r="G96" t="inlineStr">
        <is>
          <t>ANEBY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45363</v>
      </c>
      <c r="E97" s="1" t="n">
        <v>46312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46312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46312</v>
      </c>
      <c r="F99" t="inlineStr">
        <is>
          <t>JÖNKÖPINGS LÄN</t>
        </is>
      </c>
      <c r="G99" t="inlineStr">
        <is>
          <t>ANEBY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46312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46312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46312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46312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46312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46312</v>
      </c>
      <c r="F105" t="inlineStr">
        <is>
          <t>JÖNKÖPINGS LÄN</t>
        </is>
      </c>
      <c r="G105" t="inlineStr">
        <is>
          <t>ANEBY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46312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46312</v>
      </c>
      <c r="F107" t="inlineStr">
        <is>
          <t>JÖNKÖPINGS LÄN</t>
        </is>
      </c>
      <c r="G107" t="inlineStr">
        <is>
          <t>ANEBY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46312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45304</v>
      </c>
      <c r="E109" s="1" t="n">
        <v>46312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49133-2022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44860</v>
      </c>
      <c r="E110" s="1" t="n">
        <v>46312</v>
      </c>
      <c r="F110" t="inlineStr">
        <is>
          <t>JÖNKÖPINGS LÄN</t>
        </is>
      </c>
      <c r="G110" t="inlineStr">
        <is>
          <t>ANEBY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46312</v>
      </c>
      <c r="F111" t="inlineStr">
        <is>
          <t>JÖNKÖPINGS LÄN</t>
        </is>
      </c>
      <c r="G111" t="inlineStr">
        <is>
          <t>ANEBY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27714-2024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45475</v>
      </c>
      <c r="E112" s="1" t="n">
        <v>46312</v>
      </c>
      <c r="F112" t="inlineStr">
        <is>
          <t>JÖNKÖPINGS LÄN</t>
        </is>
      </c>
      <c r="G112" t="inlineStr">
        <is>
          <t>ANEBY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46312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45020</v>
      </c>
      <c r="E114" s="1" t="n">
        <v>46312</v>
      </c>
      <c r="F114" t="inlineStr">
        <is>
          <t>JÖNKÖPINGS LÄN</t>
        </is>
      </c>
      <c r="G114" t="inlineStr">
        <is>
          <t>ANEBY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46312</v>
      </c>
      <c r="F115" t="inlineStr">
        <is>
          <t>JÖNKÖPINGS LÄN</t>
        </is>
      </c>
      <c r="G115" t="inlineStr">
        <is>
          <t>ANEBY</t>
        </is>
      </c>
      <c r="H115" t="inlineStr">
        <is>
          <t>Sveaskog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45357</v>
      </c>
      <c r="E116" s="1" t="n">
        <v>46312</v>
      </c>
      <c r="F116" t="inlineStr">
        <is>
          <t>JÖNKÖPINGS LÄN</t>
        </is>
      </c>
      <c r="G116" t="inlineStr">
        <is>
          <t>ANEBY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46312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45124</v>
      </c>
      <c r="E118" s="1" t="n">
        <v>46312</v>
      </c>
      <c r="F118" t="inlineStr">
        <is>
          <t>JÖNKÖPINGS LÄN</t>
        </is>
      </c>
      <c r="G118" t="inlineStr">
        <is>
          <t>ANEBY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35773-2023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45148</v>
      </c>
      <c r="E119" s="1" t="n">
        <v>46312</v>
      </c>
      <c r="F119" t="inlineStr">
        <is>
          <t>JÖNKÖPINGS LÄN</t>
        </is>
      </c>
      <c r="G119" t="inlineStr">
        <is>
          <t>ANEBY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46312</v>
      </c>
      <c r="F120" t="inlineStr">
        <is>
          <t>JÖNKÖPINGS LÄN</t>
        </is>
      </c>
      <c r="G120" t="inlineStr">
        <is>
          <t>ANEBY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46312</v>
      </c>
      <c r="F121" t="inlineStr">
        <is>
          <t>JÖNKÖPINGS LÄN</t>
        </is>
      </c>
      <c r="G121" t="inlineStr">
        <is>
          <t>ANEBY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46312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46312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46312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45691</v>
      </c>
      <c r="E125" s="1" t="n">
        <v>46312</v>
      </c>
      <c r="F125" t="inlineStr">
        <is>
          <t>JÖNKÖPINGS LÄN</t>
        </is>
      </c>
      <c r="G125" t="inlineStr">
        <is>
          <t>ANEBY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46312</v>
      </c>
      <c r="F126" t="inlineStr">
        <is>
          <t>JÖNKÖPINGS LÄN</t>
        </is>
      </c>
      <c r="G126" t="inlineStr">
        <is>
          <t>ANEBY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46312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46312</v>
      </c>
      <c r="F128" t="inlineStr">
        <is>
          <t>JÖNKÖPINGS LÄN</t>
        </is>
      </c>
      <c r="G128" t="inlineStr">
        <is>
          <t>ANEBY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46312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46312</v>
      </c>
      <c r="F130" t="inlineStr">
        <is>
          <t>JÖNKÖPINGS LÄN</t>
        </is>
      </c>
      <c r="G130" t="inlineStr">
        <is>
          <t>ANEBY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46312</v>
      </c>
      <c r="F131" t="inlineStr">
        <is>
          <t>JÖNKÖPINGS LÄN</t>
        </is>
      </c>
      <c r="G131" t="inlineStr">
        <is>
          <t>ANEBY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32768-2025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46312</v>
      </c>
      <c r="F132" t="inlineStr">
        <is>
          <t>JÖNKÖPINGS LÄN</t>
        </is>
      </c>
      <c r="G132" t="inlineStr">
        <is>
          <t>ANEBY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39694-2024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45552</v>
      </c>
      <c r="E133" s="1" t="n">
        <v>46312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46312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46312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45552</v>
      </c>
      <c r="E136" s="1" t="n">
        <v>46312</v>
      </c>
      <c r="F136" t="inlineStr">
        <is>
          <t>JÖNKÖPINGS LÄN</t>
        </is>
      </c>
      <c r="G136" t="inlineStr">
        <is>
          <t>ANEBY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46312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46312</v>
      </c>
      <c r="F138" t="inlineStr">
        <is>
          <t>JÖNKÖPINGS LÄN</t>
        </is>
      </c>
      <c r="G138" t="inlineStr">
        <is>
          <t>ANEBY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46312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46312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43528-2025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45911</v>
      </c>
      <c r="E141" s="1" t="n">
        <v>46312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46312</v>
      </c>
      <c r="F142" t="inlineStr">
        <is>
          <t>JÖNKÖPINGS LÄN</t>
        </is>
      </c>
      <c r="G142" t="inlineStr">
        <is>
          <t>ANEBY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46312</v>
      </c>
      <c r="F143" t="inlineStr">
        <is>
          <t>JÖNKÖPINGS LÄN</t>
        </is>
      </c>
      <c r="G143" t="inlineStr">
        <is>
          <t>ANEBY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21356-2026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46147</v>
      </c>
      <c r="E144" s="1" t="n">
        <v>46312</v>
      </c>
      <c r="F144" t="inlineStr">
        <is>
          <t>JÖNKÖPINGS LÄN</t>
        </is>
      </c>
      <c r="G144" t="inlineStr">
        <is>
          <t>ANEBY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46312</v>
      </c>
      <c r="F145" t="inlineStr">
        <is>
          <t>JÖNKÖPINGS LÄN</t>
        </is>
      </c>
      <c r="G145" t="inlineStr">
        <is>
          <t>ANEBY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46312</v>
      </c>
      <c r="F146" t="inlineStr">
        <is>
          <t>JÖNKÖPINGS LÄN</t>
        </is>
      </c>
      <c r="G146" t="inlineStr">
        <is>
          <t>ANEBY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46312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44606</v>
      </c>
      <c r="E148" s="1" t="n">
        <v>46312</v>
      </c>
      <c r="F148" t="inlineStr">
        <is>
          <t>JÖNKÖPINGS LÄN</t>
        </is>
      </c>
      <c r="G148" t="inlineStr">
        <is>
          <t>ANEBY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45393</v>
      </c>
      <c r="E149" s="1" t="n">
        <v>46312</v>
      </c>
      <c r="F149" t="inlineStr">
        <is>
          <t>JÖNKÖPINGS LÄN</t>
        </is>
      </c>
      <c r="G149" t="inlineStr">
        <is>
          <t>ANEBY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46312</v>
      </c>
      <c r="F150" t="inlineStr">
        <is>
          <t>JÖNKÖPINGS LÄN</t>
        </is>
      </c>
      <c r="G150" t="inlineStr">
        <is>
          <t>ANEBY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44985</v>
      </c>
      <c r="E151" s="1" t="n">
        <v>46312</v>
      </c>
      <c r="F151" t="inlineStr">
        <is>
          <t>JÖNKÖPINGS LÄN</t>
        </is>
      </c>
      <c r="G151" t="inlineStr">
        <is>
          <t>ANEBY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46312</v>
      </c>
      <c r="F152" t="inlineStr">
        <is>
          <t>JÖNKÖPINGS LÄN</t>
        </is>
      </c>
      <c r="G152" t="inlineStr">
        <is>
          <t>ANEBY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46312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44705</v>
      </c>
      <c r="E154" s="1" t="n">
        <v>46312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46312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46312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46312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46312</v>
      </c>
      <c r="F158" t="inlineStr">
        <is>
          <t>JÖNKÖPINGS LÄN</t>
        </is>
      </c>
      <c r="G158" t="inlineStr">
        <is>
          <t>ANEBY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46312</v>
      </c>
      <c r="F159" t="inlineStr">
        <is>
          <t>JÖNKÖPINGS LÄN</t>
        </is>
      </c>
      <c r="G159" t="inlineStr">
        <is>
          <t>ANEBY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46312</v>
      </c>
      <c r="F160" t="inlineStr">
        <is>
          <t>JÖNKÖPINGS LÄN</t>
        </is>
      </c>
      <c r="G160" t="inlineStr">
        <is>
          <t>ANEBY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46312</v>
      </c>
      <c r="F161" t="inlineStr">
        <is>
          <t>JÖNKÖPINGS LÄN</t>
        </is>
      </c>
      <c r="G161" t="inlineStr">
        <is>
          <t>ANEBY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45097</v>
      </c>
      <c r="E162" s="1" t="n">
        <v>46312</v>
      </c>
      <c r="F162" t="inlineStr">
        <is>
          <t>JÖNKÖPINGS LÄN</t>
        </is>
      </c>
      <c r="G162" t="inlineStr">
        <is>
          <t>ANEBY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46312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46312</v>
      </c>
      <c r="F164" t="inlineStr">
        <is>
          <t>JÖNKÖPINGS LÄN</t>
        </is>
      </c>
      <c r="G164" t="inlineStr">
        <is>
          <t>ANEBY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46312</v>
      </c>
      <c r="F165" t="inlineStr">
        <is>
          <t>JÖNKÖPINGS LÄN</t>
        </is>
      </c>
      <c r="G165" t="inlineStr">
        <is>
          <t>ANEBY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46312</v>
      </c>
      <c r="F166" t="inlineStr">
        <is>
          <t>JÖNKÖPINGS LÄN</t>
        </is>
      </c>
      <c r="G166" t="inlineStr">
        <is>
          <t>ANEBY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45146</v>
      </c>
      <c r="E167" s="1" t="n">
        <v>46312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46312</v>
      </c>
      <c r="F168" t="inlineStr">
        <is>
          <t>JÖNKÖPINGS LÄN</t>
        </is>
      </c>
      <c r="G168" t="inlineStr">
        <is>
          <t>ANEBY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46312</v>
      </c>
      <c r="F169" t="inlineStr">
        <is>
          <t>JÖNKÖPINGS LÄN</t>
        </is>
      </c>
      <c r="G169" t="inlineStr">
        <is>
          <t>ANEBY</t>
        </is>
      </c>
      <c r="H169" t="inlineStr">
        <is>
          <t>Övriga Aktiebolag</t>
        </is>
      </c>
      <c r="I169" t="n">
        <v>19.6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45412</v>
      </c>
      <c r="E170" s="1" t="n">
        <v>46312</v>
      </c>
      <c r="F170" t="inlineStr">
        <is>
          <t>JÖNKÖPINGS LÄN</t>
        </is>
      </c>
      <c r="G170" t="inlineStr">
        <is>
          <t>ANEBY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46312</v>
      </c>
      <c r="F171" t="inlineStr">
        <is>
          <t>JÖNKÖPINGS LÄN</t>
        </is>
      </c>
      <c r="G171" t="inlineStr">
        <is>
          <t>ANEBY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46312</v>
      </c>
      <c r="F172" t="inlineStr">
        <is>
          <t>JÖNKÖPINGS LÄN</t>
        </is>
      </c>
      <c r="G172" t="inlineStr">
        <is>
          <t>ANEBY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46312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46312</v>
      </c>
      <c r="F174" t="inlineStr">
        <is>
          <t>JÖNKÖPINGS LÄN</t>
        </is>
      </c>
      <c r="G174" t="inlineStr">
        <is>
          <t>ANEBY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45982</v>
      </c>
      <c r="E175" s="1" t="n">
        <v>46312</v>
      </c>
      <c r="F175" t="inlineStr">
        <is>
          <t>JÖNKÖPINGS LÄN</t>
        </is>
      </c>
      <c r="G175" t="inlineStr">
        <is>
          <t>ANEBY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46312</v>
      </c>
      <c r="F176" t="inlineStr">
        <is>
          <t>JÖNKÖPINGS LÄN</t>
        </is>
      </c>
      <c r="G176" t="inlineStr">
        <is>
          <t>ANEBY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46312</v>
      </c>
      <c r="F177" t="inlineStr">
        <is>
          <t>JÖNKÖPINGS LÄN</t>
        </is>
      </c>
      <c r="G177" t="inlineStr">
        <is>
          <t>ANEBY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46312</v>
      </c>
      <c r="F178" t="inlineStr">
        <is>
          <t>JÖNKÖPINGS LÄN</t>
        </is>
      </c>
      <c r="G178" t="inlineStr">
        <is>
          <t>ANEBY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44952</v>
      </c>
      <c r="E179" s="1" t="n">
        <v>46312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45707</v>
      </c>
      <c r="E180" s="1" t="n">
        <v>46312</v>
      </c>
      <c r="F180" t="inlineStr">
        <is>
          <t>JÖNKÖPINGS LÄN</t>
        </is>
      </c>
      <c r="G180" t="inlineStr">
        <is>
          <t>ANEBY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73166-2021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46312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45993</v>
      </c>
      <c r="E182" s="1" t="n">
        <v>46312</v>
      </c>
      <c r="F182" t="inlineStr">
        <is>
          <t>JÖNKÖPINGS LÄN</t>
        </is>
      </c>
      <c r="G182" t="inlineStr">
        <is>
          <t>ANEBY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44623</v>
      </c>
      <c r="E183" s="1" t="n">
        <v>46312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23349-2023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45076</v>
      </c>
      <c r="E184" s="1" t="n">
        <v>46312</v>
      </c>
      <c r="F184" t="inlineStr">
        <is>
          <t>JÖNKÖPINGS LÄN</t>
        </is>
      </c>
      <c r="G184" t="inlineStr">
        <is>
          <t>ANEBY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46312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45198</v>
      </c>
      <c r="E186" s="1" t="n">
        <v>46312</v>
      </c>
      <c r="F186" t="inlineStr">
        <is>
          <t>JÖNKÖPINGS LÄN</t>
        </is>
      </c>
      <c r="G186" t="inlineStr">
        <is>
          <t>ANEBY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46312</v>
      </c>
      <c r="F187" t="inlineStr">
        <is>
          <t>JÖNKÖPINGS LÄN</t>
        </is>
      </c>
      <c r="G187" t="inlineStr">
        <is>
          <t>ANEBY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  <c r="Z187">
        <f>HYPERLINK("https://klasma.github.io/Logging_0604/knärot/A 25963-2024 karta knärot.png", "A 25963-2024")</f>
        <v/>
      </c>
      <c r="AA187">
        <f>HYPERLINK("https://klasma.github.io/Logging_0604/klagomål/A 25963-2024 FSC-klagomål.docx", "A 25963-2024")</f>
        <v/>
      </c>
      <c r="AB187">
        <f>HYPERLINK("https://klasma.github.io/Logging_0604/klagomålsmail/A 25963-2024 FSC-klagomål mail.docx", "A 25963-2024")</f>
        <v/>
      </c>
      <c r="AC187">
        <f>HYPERLINK("https://klasma.github.io/Logging_0604/tillsyn/A 25963-2024 tillsynsbegäran.docx", "A 25963-2024")</f>
        <v/>
      </c>
      <c r="AD187">
        <f>HYPERLINK("https://klasma.github.io/Logging_0604/tillsynsmail/A 25963-2024 tillsynsbegäran mail.docx", "A 25963-2024")</f>
        <v/>
      </c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46312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45068</v>
      </c>
      <c r="E189" s="1" t="n">
        <v>46312</v>
      </c>
      <c r="F189" t="inlineStr">
        <is>
          <t>JÖNKÖPINGS LÄN</t>
        </is>
      </c>
      <c r="G189" t="inlineStr">
        <is>
          <t>ANEBY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46312</v>
      </c>
      <c r="F190" t="inlineStr">
        <is>
          <t>JÖNKÖPINGS LÄN</t>
        </is>
      </c>
      <c r="G190" t="inlineStr">
        <is>
          <t>ANEBY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46312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46312</v>
      </c>
      <c r="F192" t="inlineStr">
        <is>
          <t>JÖNKÖPINGS LÄN</t>
        </is>
      </c>
      <c r="G192" t="inlineStr">
        <is>
          <t>ANEBY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45033</v>
      </c>
      <c r="E193" s="1" t="n">
        <v>46312</v>
      </c>
      <c r="F193" t="inlineStr">
        <is>
          <t>JÖNKÖPINGS LÄN</t>
        </is>
      </c>
      <c r="G193" t="inlineStr">
        <is>
          <t>ANEBY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46312</v>
      </c>
      <c r="F194" t="inlineStr">
        <is>
          <t>JÖNKÖPINGS LÄN</t>
        </is>
      </c>
      <c r="G194" t="inlineStr">
        <is>
          <t>ANEBY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45077</v>
      </c>
      <c r="E195" s="1" t="n">
        <v>46312</v>
      </c>
      <c r="F195" t="inlineStr">
        <is>
          <t>JÖNKÖPINGS LÄN</t>
        </is>
      </c>
      <c r="G195" t="inlineStr">
        <is>
          <t>ANEBY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46312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46312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46312</v>
      </c>
      <c r="F198" t="inlineStr">
        <is>
          <t>JÖNKÖPINGS LÄN</t>
        </is>
      </c>
      <c r="G198" t="inlineStr">
        <is>
          <t>ANEBY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46312</v>
      </c>
      <c r="F199" t="inlineStr">
        <is>
          <t>JÖNKÖPINGS LÄN</t>
        </is>
      </c>
      <c r="G199" t="inlineStr">
        <is>
          <t>ANEBY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46312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46020</v>
      </c>
      <c r="E201" s="1" t="n">
        <v>46312</v>
      </c>
      <c r="F201" t="inlineStr">
        <is>
          <t>JÖNKÖPINGS LÄN</t>
        </is>
      </c>
      <c r="G201" t="inlineStr">
        <is>
          <t>ANEBY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46021</v>
      </c>
      <c r="E202" s="1" t="n">
        <v>46312</v>
      </c>
      <c r="F202" t="inlineStr">
        <is>
          <t>JÖNKÖPINGS LÄN</t>
        </is>
      </c>
      <c r="G202" t="inlineStr">
        <is>
          <t>ANEBY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46312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46312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54213-2024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45616</v>
      </c>
      <c r="E205" s="1" t="n">
        <v>46312</v>
      </c>
      <c r="F205" t="inlineStr">
        <is>
          <t>JÖNKÖPINGS LÄN</t>
        </is>
      </c>
      <c r="G205" t="inlineStr">
        <is>
          <t>ANEBY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46312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46312</v>
      </c>
      <c r="F207" t="inlineStr">
        <is>
          <t>JÖNKÖPINGS LÄN</t>
        </is>
      </c>
      <c r="G207" t="inlineStr">
        <is>
          <t>ANEBY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46176</v>
      </c>
      <c r="E208" s="1" t="n">
        <v>46312</v>
      </c>
      <c r="F208" t="inlineStr">
        <is>
          <t>JÖNKÖPINGS LÄN</t>
        </is>
      </c>
      <c r="G208" t="inlineStr">
        <is>
          <t>ANEBY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46312</v>
      </c>
      <c r="F209" t="inlineStr">
        <is>
          <t>JÖNKÖPINGS LÄN</t>
        </is>
      </c>
      <c r="G209" t="inlineStr">
        <is>
          <t>ANEBY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46312</v>
      </c>
      <c r="F210" t="inlineStr">
        <is>
          <t>JÖNKÖPINGS LÄN</t>
        </is>
      </c>
      <c r="G210" t="inlineStr">
        <is>
          <t>ANEBY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46312</v>
      </c>
      <c r="F211" t="inlineStr">
        <is>
          <t>JÖNKÖPINGS LÄN</t>
        </is>
      </c>
      <c r="G211" t="inlineStr">
        <is>
          <t>ANEBY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46051</v>
      </c>
      <c r="E212" s="1" t="n">
        <v>46312</v>
      </c>
      <c r="F212" t="inlineStr">
        <is>
          <t>JÖNKÖPINGS LÄN</t>
        </is>
      </c>
      <c r="G212" t="inlineStr">
        <is>
          <t>ANEBY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46312</v>
      </c>
      <c r="F213" t="inlineStr">
        <is>
          <t>JÖNKÖPINGS LÄN</t>
        </is>
      </c>
      <c r="G213" t="inlineStr">
        <is>
          <t>ANEBY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21026-2024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45439</v>
      </c>
      <c r="E214" s="1" t="n">
        <v>46312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46312</v>
      </c>
      <c r="F215" t="inlineStr">
        <is>
          <t>JÖNKÖPINGS LÄN</t>
        </is>
      </c>
      <c r="G215" t="inlineStr">
        <is>
          <t>ANEBY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46312</v>
      </c>
      <c r="F216" t="inlineStr">
        <is>
          <t>JÖNKÖPINGS LÄN</t>
        </is>
      </c>
      <c r="G216" t="inlineStr">
        <is>
          <t>ANEBY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6827-2026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46057</v>
      </c>
      <c r="E217" s="1" t="n">
        <v>46312</v>
      </c>
      <c r="F217" t="inlineStr">
        <is>
          <t>JÖNKÖPINGS LÄN</t>
        </is>
      </c>
      <c r="G217" t="inlineStr">
        <is>
          <t>ANEBY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46312</v>
      </c>
      <c r="F218" t="inlineStr">
        <is>
          <t>JÖNKÖPINGS LÄN</t>
        </is>
      </c>
      <c r="G218" t="inlineStr">
        <is>
          <t>ANEBY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46312</v>
      </c>
      <c r="F219" t="inlineStr">
        <is>
          <t>JÖNKÖPINGS LÄN</t>
        </is>
      </c>
      <c r="G219" t="inlineStr">
        <is>
          <t>ANEBY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43613-2023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45184</v>
      </c>
      <c r="E220" s="1" t="n">
        <v>46312</v>
      </c>
      <c r="F220" t="inlineStr">
        <is>
          <t>JÖNKÖPINGS LÄN</t>
        </is>
      </c>
      <c r="G220" t="inlineStr">
        <is>
          <t>ANEBY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46057</v>
      </c>
      <c r="E221" s="1" t="n">
        <v>46312</v>
      </c>
      <c r="F221" t="inlineStr">
        <is>
          <t>JÖNKÖPINGS LÄN</t>
        </is>
      </c>
      <c r="G221" t="inlineStr">
        <is>
          <t>ANEBY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7263-2026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46058</v>
      </c>
      <c r="E222" s="1" t="n">
        <v>46312</v>
      </c>
      <c r="F222" t="inlineStr">
        <is>
          <t>JÖNKÖPINGS LÄN</t>
        </is>
      </c>
      <c r="G222" t="inlineStr">
        <is>
          <t>ANEBY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12477-2023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44999</v>
      </c>
      <c r="E223" s="1" t="n">
        <v>46312</v>
      </c>
      <c r="F223" t="inlineStr">
        <is>
          <t>JÖNKÖPINGS LÄN</t>
        </is>
      </c>
      <c r="G223" t="inlineStr">
        <is>
          <t>ANEBY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46312</v>
      </c>
      <c r="F224" t="inlineStr">
        <is>
          <t>JÖNKÖPINGS LÄN</t>
        </is>
      </c>
      <c r="G224" t="inlineStr">
        <is>
          <t>ANEBY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46312</v>
      </c>
      <c r="F225" t="inlineStr">
        <is>
          <t>JÖNKÖPINGS LÄN</t>
        </is>
      </c>
      <c r="G225" t="inlineStr">
        <is>
          <t>ANEBY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46312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46312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46312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46312</v>
      </c>
      <c r="F229" t="inlineStr">
        <is>
          <t>JÖNKÖPINGS LÄN</t>
        </is>
      </c>
      <c r="G229" t="inlineStr">
        <is>
          <t>ANEBY</t>
        </is>
      </c>
      <c r="H229" t="inlineStr">
        <is>
          <t>Övriga Aktiebolag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46312</v>
      </c>
      <c r="F230" t="inlineStr">
        <is>
          <t>JÖNKÖPINGS LÄN</t>
        </is>
      </c>
      <c r="G230" t="inlineStr">
        <is>
          <t>ANEBY</t>
        </is>
      </c>
      <c r="H230" t="inlineStr">
        <is>
          <t>Övriga Aktiebolag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46312</v>
      </c>
      <c r="F231" t="inlineStr">
        <is>
          <t>JÖNKÖPINGS LÄN</t>
        </is>
      </c>
      <c r="G231" t="inlineStr">
        <is>
          <t>ANEBY</t>
        </is>
      </c>
      <c r="H231" t="inlineStr">
        <is>
          <t>Övriga Aktiebolag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27356-2026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46312</v>
      </c>
      <c r="F232" t="inlineStr">
        <is>
          <t>JÖNKÖPINGS LÄN</t>
        </is>
      </c>
      <c r="G232" t="inlineStr">
        <is>
          <t>ANEBY</t>
        </is>
      </c>
      <c r="I232" t="n">
        <v>17.9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46073</v>
      </c>
      <c r="E233" s="1" t="n">
        <v>46312</v>
      </c>
      <c r="F233" t="inlineStr">
        <is>
          <t>JÖNKÖPINGS LÄN</t>
        </is>
      </c>
      <c r="G233" t="inlineStr">
        <is>
          <t>ANEBY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46312</v>
      </c>
      <c r="F234" t="inlineStr">
        <is>
          <t>JÖNKÖPINGS LÄN</t>
        </is>
      </c>
      <c r="G234" t="inlineStr">
        <is>
          <t>ANEBY</t>
        </is>
      </c>
      <c r="H234" t="inlineStr">
        <is>
          <t>Övriga Aktiebolag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44957</v>
      </c>
      <c r="E235" s="1" t="n">
        <v>46312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46312</v>
      </c>
      <c r="F236" t="inlineStr">
        <is>
          <t>JÖNKÖPINGS LÄN</t>
        </is>
      </c>
      <c r="G236" t="inlineStr">
        <is>
          <t>ANEBY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63624-2023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45275</v>
      </c>
      <c r="E237" s="1" t="n">
        <v>46312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46312</v>
      </c>
      <c r="F238" t="inlineStr">
        <is>
          <t>JÖNKÖPINGS LÄN</t>
        </is>
      </c>
      <c r="G238" t="inlineStr">
        <is>
          <t>ANEBY</t>
        </is>
      </c>
      <c r="H238" t="inlineStr">
        <is>
          <t>Övriga Aktiebolag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46312</v>
      </c>
      <c r="F239" t="inlineStr">
        <is>
          <t>JÖNKÖPINGS LÄN</t>
        </is>
      </c>
      <c r="G239" t="inlineStr">
        <is>
          <t>ANEBY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46312</v>
      </c>
      <c r="F240" t="inlineStr">
        <is>
          <t>JÖNKÖPINGS LÄN</t>
        </is>
      </c>
      <c r="G240" t="inlineStr">
        <is>
          <t>ANEBY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46312</v>
      </c>
      <c r="F241" t="inlineStr">
        <is>
          <t>JÖNKÖPINGS LÄN</t>
        </is>
      </c>
      <c r="G241" t="inlineStr">
        <is>
          <t>ANEBY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45304</v>
      </c>
      <c r="E242" s="1" t="n">
        <v>46312</v>
      </c>
      <c r="F242" t="inlineStr">
        <is>
          <t>JÖNKÖPINGS LÄN</t>
        </is>
      </c>
      <c r="G242" t="inlineStr">
        <is>
          <t>ANEBY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46312</v>
      </c>
      <c r="F243" t="inlineStr">
        <is>
          <t>JÖNKÖPINGS LÄN</t>
        </is>
      </c>
      <c r="G243" t="inlineStr">
        <is>
          <t>ANEBY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44578</v>
      </c>
      <c r="E244" s="1" t="n">
        <v>46312</v>
      </c>
      <c r="F244" t="inlineStr">
        <is>
          <t>JÖNKÖPINGS LÄN</t>
        </is>
      </c>
      <c r="G244" t="inlineStr">
        <is>
          <t>ANEBY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46312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20.7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46312</v>
      </c>
      <c r="F246" t="inlineStr">
        <is>
          <t>JÖNKÖPINGS LÄN</t>
        </is>
      </c>
      <c r="G246" t="inlineStr">
        <is>
          <t>ANEBY</t>
        </is>
      </c>
      <c r="H246" t="inlineStr">
        <is>
          <t>Kyrkan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26236-2024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46312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46312</v>
      </c>
      <c r="F248" t="inlineStr">
        <is>
          <t>JÖNKÖPINGS LÄN</t>
        </is>
      </c>
      <c r="G248" t="inlineStr">
        <is>
          <t>ANEBY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46312</v>
      </c>
      <c r="F249" t="inlineStr">
        <is>
          <t>JÖNKÖPINGS LÄN</t>
        </is>
      </c>
      <c r="G249" t="inlineStr">
        <is>
          <t>ANEBY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46312</v>
      </c>
      <c r="F250" t="inlineStr">
        <is>
          <t>JÖNKÖPINGS LÄN</t>
        </is>
      </c>
      <c r="G250" t="inlineStr">
        <is>
          <t>ANEBY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46312</v>
      </c>
      <c r="F251" t="inlineStr">
        <is>
          <t>JÖNKÖPINGS LÄN</t>
        </is>
      </c>
      <c r="G251" t="inlineStr">
        <is>
          <t>ANEBY</t>
        </is>
      </c>
      <c r="H251" t="inlineStr">
        <is>
          <t>Kyrkan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46312</v>
      </c>
      <c r="F252" t="inlineStr">
        <is>
          <t>JÖNKÖPINGS LÄN</t>
        </is>
      </c>
      <c r="G252" t="inlineStr">
        <is>
          <t>ANEBY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46312</v>
      </c>
      <c r="F253" t="inlineStr">
        <is>
          <t>JÖNKÖPINGS LÄN</t>
        </is>
      </c>
      <c r="G253" t="inlineStr">
        <is>
          <t>ANEBY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46312</v>
      </c>
      <c r="F254" t="inlineStr">
        <is>
          <t>JÖNKÖPINGS LÄN</t>
        </is>
      </c>
      <c r="G254" t="inlineStr">
        <is>
          <t>ANEBY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46312</v>
      </c>
      <c r="F255" t="inlineStr">
        <is>
          <t>JÖNKÖPINGS LÄN</t>
        </is>
      </c>
      <c r="G255" t="inlineStr">
        <is>
          <t>ANEBY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46312</v>
      </c>
      <c r="F256" t="inlineStr">
        <is>
          <t>JÖNKÖPINGS LÄN</t>
        </is>
      </c>
      <c r="G256" t="inlineStr">
        <is>
          <t>ANEBY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46312</v>
      </c>
      <c r="F257" t="inlineStr">
        <is>
          <t>JÖNKÖPINGS LÄN</t>
        </is>
      </c>
      <c r="G257" t="inlineStr">
        <is>
          <t>ANEBY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46312</v>
      </c>
      <c r="F258" t="inlineStr">
        <is>
          <t>JÖNKÖPINGS LÄN</t>
        </is>
      </c>
      <c r="G258" t="inlineStr">
        <is>
          <t>ANEBY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45364</v>
      </c>
      <c r="E259" s="1" t="n">
        <v>46312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46312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46312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46312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46312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46312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46312</v>
      </c>
      <c r="F265" t="inlineStr">
        <is>
          <t>JÖNKÖPINGS LÄN</t>
        </is>
      </c>
      <c r="G265" t="inlineStr">
        <is>
          <t>ANEBY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46312</v>
      </c>
      <c r="F266" t="inlineStr">
        <is>
          <t>JÖNKÖPINGS LÄN</t>
        </is>
      </c>
      <c r="G266" t="inlineStr">
        <is>
          <t>ANEBY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46312</v>
      </c>
      <c r="F267" t="inlineStr">
        <is>
          <t>JÖNKÖPINGS LÄN</t>
        </is>
      </c>
      <c r="G267" t="inlineStr">
        <is>
          <t>ANEBY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44620</v>
      </c>
      <c r="E268" s="1" t="n">
        <v>46312</v>
      </c>
      <c r="F268" t="inlineStr">
        <is>
          <t>JÖNKÖPINGS LÄN</t>
        </is>
      </c>
      <c r="G268" t="inlineStr">
        <is>
          <t>ANEBY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10456-2023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44981</v>
      </c>
      <c r="E269" s="1" t="n">
        <v>46312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45379</v>
      </c>
      <c r="E270" s="1" t="n">
        <v>46312</v>
      </c>
      <c r="F270" t="inlineStr">
        <is>
          <t>JÖNKÖPINGS LÄN</t>
        </is>
      </c>
      <c r="G270" t="inlineStr">
        <is>
          <t>ANEBY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45126</v>
      </c>
      <c r="E271" s="1" t="n">
        <v>46312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46312</v>
      </c>
      <c r="F272" t="inlineStr">
        <is>
          <t>JÖNKÖPINGS LÄN</t>
        </is>
      </c>
      <c r="G272" t="inlineStr">
        <is>
          <t>ANEBY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46312</v>
      </c>
      <c r="F273" t="inlineStr">
        <is>
          <t>JÖNKÖPINGS LÄN</t>
        </is>
      </c>
      <c r="G273" t="inlineStr">
        <is>
          <t>ANEBY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46312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46312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46312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46214</v>
      </c>
      <c r="E277" s="1" t="n">
        <v>46312</v>
      </c>
      <c r="F277" t="inlineStr">
        <is>
          <t>JÖNKÖPINGS LÄN</t>
        </is>
      </c>
      <c r="G277" t="inlineStr">
        <is>
          <t>ANEBY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46214</v>
      </c>
      <c r="E278" s="1" t="n">
        <v>46312</v>
      </c>
      <c r="F278" t="inlineStr">
        <is>
          <t>JÖNKÖPINGS LÄN</t>
        </is>
      </c>
      <c r="G278" t="inlineStr">
        <is>
          <t>ANEBY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46312</v>
      </c>
      <c r="F279" t="inlineStr">
        <is>
          <t>JÖNKÖPINGS LÄN</t>
        </is>
      </c>
      <c r="G279" t="inlineStr">
        <is>
          <t>ANEBY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46312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46224</v>
      </c>
      <c r="E281" s="1" t="n">
        <v>46312</v>
      </c>
      <c r="F281" t="inlineStr">
        <is>
          <t>JÖNKÖPINGS LÄN</t>
        </is>
      </c>
      <c r="G281" t="inlineStr">
        <is>
          <t>ANEBY</t>
        </is>
      </c>
      <c r="I281" t="n">
        <v>8.699999999999999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46312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46273</v>
      </c>
      <c r="E283" s="1" t="n">
        <v>46312</v>
      </c>
      <c r="F283" t="inlineStr">
        <is>
          <t>JÖNKÖPINGS LÄN</t>
        </is>
      </c>
      <c r="G283" t="inlineStr">
        <is>
          <t>ANEBY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46312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46312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46273</v>
      </c>
      <c r="E286" s="1" t="n">
        <v>46312</v>
      </c>
      <c r="F286" t="inlineStr">
        <is>
          <t>JÖNKÖPINGS LÄN</t>
        </is>
      </c>
      <c r="G286" t="inlineStr">
        <is>
          <t>ANEBY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46312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67414-2021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44524</v>
      </c>
      <c r="E288" s="1" t="n">
        <v>46312</v>
      </c>
      <c r="F288" t="inlineStr">
        <is>
          <t>JÖNKÖPINGS LÄN</t>
        </is>
      </c>
      <c r="G288" t="inlineStr">
        <is>
          <t>ANEBY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46312</v>
      </c>
      <c r="F289" t="inlineStr">
        <is>
          <t>JÖNKÖPINGS LÄN</t>
        </is>
      </c>
      <c r="G289" t="inlineStr">
        <is>
          <t>ANEBY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59507-2022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44900</v>
      </c>
      <c r="E290" s="1" t="n">
        <v>46312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45076</v>
      </c>
      <c r="E291" s="1" t="n">
        <v>46312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46312</v>
      </c>
      <c r="F292" t="inlineStr">
        <is>
          <t>JÖNKÖPINGS LÄN</t>
        </is>
      </c>
      <c r="G292" t="inlineStr">
        <is>
          <t>ANEBY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37343-2023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45156</v>
      </c>
      <c r="E293" s="1" t="n">
        <v>46312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46312</v>
      </c>
      <c r="F294" t="inlineStr">
        <is>
          <t>JÖNKÖPINGS LÄN</t>
        </is>
      </c>
      <c r="G294" t="inlineStr">
        <is>
          <t>ANEBY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46312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46312</v>
      </c>
      <c r="F296" t="inlineStr">
        <is>
          <t>JÖNKÖPINGS LÄN</t>
        </is>
      </c>
      <c r="G296" t="inlineStr">
        <is>
          <t>ANEBY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38794-2023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45161</v>
      </c>
      <c r="E297" s="1" t="n">
        <v>46312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46312</v>
      </c>
      <c r="F298" t="inlineStr">
        <is>
          <t>JÖNKÖPINGS LÄN</t>
        </is>
      </c>
      <c r="G298" t="inlineStr">
        <is>
          <t>ANEBY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46312</v>
      </c>
      <c r="F299" t="inlineStr">
        <is>
          <t>JÖNKÖPINGS LÄN</t>
        </is>
      </c>
      <c r="G299" t="inlineStr">
        <is>
          <t>ANEBY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46312</v>
      </c>
      <c r="F300" t="inlineStr">
        <is>
          <t>JÖNKÖPINGS LÄN</t>
        </is>
      </c>
      <c r="G300" t="inlineStr">
        <is>
          <t>ANEBY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46312</v>
      </c>
      <c r="F301" t="inlineStr">
        <is>
          <t>JÖNKÖPINGS LÄN</t>
        </is>
      </c>
      <c r="G301" t="inlineStr">
        <is>
          <t>ANEBY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45016</v>
      </c>
      <c r="E302" s="1" t="n">
        <v>46312</v>
      </c>
      <c r="F302" t="inlineStr">
        <is>
          <t>JÖNKÖPINGS LÄN</t>
        </is>
      </c>
      <c r="G302" t="inlineStr">
        <is>
          <t>ANEBY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46312</v>
      </c>
      <c r="F303" t="inlineStr">
        <is>
          <t>JÖNKÖPINGS LÄN</t>
        </is>
      </c>
      <c r="G303" t="inlineStr">
        <is>
          <t>ANEBY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46312</v>
      </c>
      <c r="F304" t="inlineStr">
        <is>
          <t>JÖNKÖPINGS LÄN</t>
        </is>
      </c>
      <c r="G304" t="inlineStr">
        <is>
          <t>ANEBY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46312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46312</v>
      </c>
      <c r="F306" t="inlineStr">
        <is>
          <t>JÖNKÖPINGS LÄN</t>
        </is>
      </c>
      <c r="G306" t="inlineStr">
        <is>
          <t>ANEBY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46312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46312</v>
      </c>
      <c r="F308" t="inlineStr">
        <is>
          <t>JÖNKÖPINGS LÄN</t>
        </is>
      </c>
      <c r="G308" t="inlineStr">
        <is>
          <t>ANEBY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46312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46312</v>
      </c>
      <c r="F310" t="inlineStr">
        <is>
          <t>JÖNKÖPINGS LÄN</t>
        </is>
      </c>
      <c r="G310" t="inlineStr">
        <is>
          <t>ANEBY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46312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44700</v>
      </c>
      <c r="E312" s="1" t="n">
        <v>46312</v>
      </c>
      <c r="F312" t="inlineStr">
        <is>
          <t>JÖNKÖPINGS LÄN</t>
        </is>
      </c>
      <c r="G312" t="inlineStr">
        <is>
          <t>ANEBY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46312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46312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9071-2024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45357</v>
      </c>
      <c r="E315" s="1" t="n">
        <v>46312</v>
      </c>
      <c r="F315" t="inlineStr">
        <is>
          <t>JÖNKÖPINGS LÄN</t>
        </is>
      </c>
      <c r="G315" t="inlineStr">
        <is>
          <t>ANEBY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45089</v>
      </c>
      <c r="E316" s="1" t="n">
        <v>46312</v>
      </c>
      <c r="F316" t="inlineStr">
        <is>
          <t>JÖNKÖPINGS LÄN</t>
        </is>
      </c>
      <c r="G316" t="inlineStr">
        <is>
          <t>ANEBY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45404</v>
      </c>
      <c r="E317" s="1" t="n">
        <v>46312</v>
      </c>
      <c r="F317" t="inlineStr">
        <is>
          <t>JÖNKÖPINGS LÄN</t>
        </is>
      </c>
      <c r="G317" t="inlineStr">
        <is>
          <t>ANEBY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46312</v>
      </c>
      <c r="F318" t="inlineStr">
        <is>
          <t>JÖNKÖPINGS LÄN</t>
        </is>
      </c>
      <c r="G318" t="inlineStr">
        <is>
          <t>ANEBY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46312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50069-2024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45600</v>
      </c>
      <c r="E320" s="1" t="n">
        <v>46312</v>
      </c>
      <c r="F320" t="inlineStr">
        <is>
          <t>JÖNKÖPINGS LÄN</t>
        </is>
      </c>
      <c r="G320" t="inlineStr">
        <is>
          <t>ANEBY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46312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44565</v>
      </c>
      <c r="E322" s="1" t="n">
        <v>46312</v>
      </c>
      <c r="F322" t="inlineStr">
        <is>
          <t>JÖNKÖPINGS LÄN</t>
        </is>
      </c>
      <c r="G322" t="inlineStr">
        <is>
          <t>ANEBY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46254</v>
      </c>
      <c r="E323" s="1" t="n">
        <v>46312</v>
      </c>
      <c r="F323" t="inlineStr">
        <is>
          <t>JÖNKÖPINGS LÄN</t>
        </is>
      </c>
      <c r="G323" t="inlineStr">
        <is>
          <t>ANEBY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46312</v>
      </c>
      <c r="F324" t="inlineStr">
        <is>
          <t>JÖNKÖPINGS LÄN</t>
        </is>
      </c>
      <c r="G324" t="inlineStr">
        <is>
          <t>ANEBY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34850-2026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46255</v>
      </c>
      <c r="E325" s="1" t="n">
        <v>46312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46312</v>
      </c>
      <c r="F326" t="inlineStr">
        <is>
          <t>JÖNKÖPINGS LÄN</t>
        </is>
      </c>
      <c r="G326" t="inlineStr">
        <is>
          <t>ANEBY</t>
        </is>
      </c>
      <c r="H326" t="inlineStr">
        <is>
          <t>Kyrkan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46312</v>
      </c>
      <c r="F327" t="inlineStr">
        <is>
          <t>JÖNKÖPINGS LÄN</t>
        </is>
      </c>
      <c r="G327" t="inlineStr">
        <is>
          <t>ANEBY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46312</v>
      </c>
      <c r="F328" t="inlineStr">
        <is>
          <t>JÖNKÖPINGS LÄN</t>
        </is>
      </c>
      <c r="G328" t="inlineStr">
        <is>
          <t>ANEBY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46312</v>
      </c>
      <c r="F329" t="inlineStr">
        <is>
          <t>JÖNKÖPINGS LÄN</t>
        </is>
      </c>
      <c r="G329" t="inlineStr">
        <is>
          <t>ANEBY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46302</v>
      </c>
      <c r="E330" s="1" t="n">
        <v>46312</v>
      </c>
      <c r="F330" t="inlineStr">
        <is>
          <t>JÖNKÖPINGS LÄN</t>
        </is>
      </c>
      <c r="G330" t="inlineStr">
        <is>
          <t>ANEBY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46302</v>
      </c>
      <c r="E331" s="1" t="n">
        <v>46312</v>
      </c>
      <c r="F331" t="inlineStr">
        <is>
          <t>JÖNKÖPINGS LÄN</t>
        </is>
      </c>
      <c r="G331" t="inlineStr">
        <is>
          <t>ANEBY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45594</v>
      </c>
      <c r="E332" s="1" t="n">
        <v>46312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46312</v>
      </c>
      <c r="F333" t="inlineStr">
        <is>
          <t>JÖNKÖPINGS LÄN</t>
        </is>
      </c>
      <c r="G333" t="inlineStr">
        <is>
          <t>ANEBY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46302</v>
      </c>
      <c r="E334" s="1" t="n">
        <v>46312</v>
      </c>
      <c r="F334" t="inlineStr">
        <is>
          <t>JÖNKÖPINGS LÄN</t>
        </is>
      </c>
      <c r="G334" t="inlineStr">
        <is>
          <t>ANEBY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45398</v>
      </c>
      <c r="E335" s="1" t="n">
        <v>46312</v>
      </c>
      <c r="F335" t="inlineStr">
        <is>
          <t>JÖNKÖPINGS LÄN</t>
        </is>
      </c>
      <c r="G335" t="inlineStr">
        <is>
          <t>ANEBY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46312</v>
      </c>
      <c r="F336" t="inlineStr">
        <is>
          <t>JÖNKÖPINGS LÄN</t>
        </is>
      </c>
      <c r="G336" t="inlineStr">
        <is>
          <t>ANEBY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45531</v>
      </c>
      <c r="E337" s="1" t="n">
        <v>46312</v>
      </c>
      <c r="F337" t="inlineStr">
        <is>
          <t>JÖNKÖPINGS LÄN</t>
        </is>
      </c>
      <c r="G337" t="inlineStr">
        <is>
          <t>ANEBY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46265</v>
      </c>
      <c r="E338" s="1" t="n">
        <v>46312</v>
      </c>
      <c r="F338" t="inlineStr">
        <is>
          <t>JÖNKÖPINGS LÄN</t>
        </is>
      </c>
      <c r="G338" t="inlineStr">
        <is>
          <t>ANEBY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46265</v>
      </c>
      <c r="E339" s="1" t="n">
        <v>46312</v>
      </c>
      <c r="F339" t="inlineStr">
        <is>
          <t>JÖNKÖPINGS LÄN</t>
        </is>
      </c>
      <c r="G339" t="inlineStr">
        <is>
          <t>ANEBY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46312</v>
      </c>
      <c r="F340" t="inlineStr">
        <is>
          <t>JÖNKÖPINGS LÄN</t>
        </is>
      </c>
      <c r="G340" t="inlineStr">
        <is>
          <t>ANEBY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46312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46312</v>
      </c>
      <c r="F342" t="inlineStr">
        <is>
          <t>JÖNKÖPINGS LÄN</t>
        </is>
      </c>
      <c r="G342" t="inlineStr">
        <is>
          <t>ANEBY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46312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46312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16.8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46312</v>
      </c>
      <c r="F345" t="inlineStr">
        <is>
          <t>JÖNKÖPINGS LÄN</t>
        </is>
      </c>
      <c r="G345" t="inlineStr">
        <is>
          <t>ANEBY</t>
        </is>
      </c>
      <c r="H345" t="inlineStr">
        <is>
          <t>Övriga Aktiebolag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46312</v>
      </c>
      <c r="F346" t="inlineStr">
        <is>
          <t>JÖNKÖPINGS LÄN</t>
        </is>
      </c>
      <c r="G346" t="inlineStr">
        <is>
          <t>ANEBY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46312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46312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46312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46312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46312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46312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46312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46312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46312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46312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46312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46312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46312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46312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2026-10-17T02:06:26Z</dcterms:created>
  <dcterms:modified xmlns:dcterms="http://purl.org/dc/terms/" xmlns:xsi="http://www.w3.org/2001/XMLSchema-instance" xsi:type="dcterms:W3CDTF">2026-10-17T02:06:26Z</dcterms:modified>
</cp:coreProperties>
</file>