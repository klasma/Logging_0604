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46282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46282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46282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46282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46282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46282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46282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46282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46282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46282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46282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46282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46282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46282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46282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46282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46282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46282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46282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46282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46282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46282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46282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46282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46282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46282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46282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46282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46282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46282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46282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46282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46282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46282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46282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46282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36378-2026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46282</v>
      </c>
      <c r="F42" t="inlineStr">
        <is>
          <t>JÖNKÖPINGS LÄN</t>
        </is>
      </c>
      <c r="G42" t="inlineStr">
        <is>
          <t>ANEBY</t>
        </is>
      </c>
      <c r="I42" t="n">
        <v>2.3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HYPERLINK("https://klasma.github.io/Logging_0604/artfynd/A 36378-2026 artfynd.xlsx", "A 36378-2026")</f>
        <v/>
      </c>
      <c r="X42">
        <f>HYPERLINK("https://klasma.github.io/Logging_0604/kartor/A 36378-2026 karta.png", "A 36378-2026")</f>
        <v/>
      </c>
      <c r="Y42">
        <f>HYPERLINK("https://klasma.github.io/Logging_0604/kartor_geotiff/A 36378-2026 georefererad karta.tif", "A 36378-2026")</f>
        <v/>
      </c>
      <c r="AA42">
        <f>HYPERLINK("https://klasma.github.io/Logging_0604/klagomål/A 36378-2026 FSC-klagomål.docx", "A 36378-2026")</f>
        <v/>
      </c>
      <c r="AB42">
        <f>HYPERLINK("https://klasma.github.io/Logging_0604/klagomålsmail/A 36378-2026 FSC-klagomål mail.docx", "A 36378-2026")</f>
        <v/>
      </c>
      <c r="AC42">
        <f>HYPERLINK("https://klasma.github.io/Logging_0604/tillsyn/A 36378-2026 tillsynsbegäran.docx", "A 36378-2026")</f>
        <v/>
      </c>
      <c r="AD42">
        <f>HYPERLINK("https://klasma.github.io/Logging_0604/tillsynsmail/A 36378-2026 tillsynsbegäran mail.docx", "A 36378-2026")</f>
        <v/>
      </c>
      <c r="AE42">
        <f>HYPERLINK("https://klasma.github.io/Logging_0604/fåglar/A 36378-2026 prioriterade fågelarter.docx", "A 36378-2026")</f>
        <v/>
      </c>
    </row>
    <row r="43" ht="15" customHeight="1">
      <c r="A43" t="inlineStr">
        <is>
          <t>A 51453-2021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46282</v>
      </c>
      <c r="F43" t="inlineStr">
        <is>
          <t>JÖNKÖPINGS LÄN</t>
        </is>
      </c>
      <c r="G43" t="inlineStr">
        <is>
          <t>ANEBY</t>
        </is>
      </c>
      <c r="H43" t="inlineStr">
        <is>
          <t>Övriga Aktiebolag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Vedtrappmossa</t>
        </is>
      </c>
      <c r="W43">
        <f>HYPERLINK("https://klasma.github.io/Logging_0604/artfynd/A 51453-2021 artfynd.xlsx", "A 51453-2021")</f>
        <v/>
      </c>
      <c r="X43">
        <f>HYPERLINK("https://klasma.github.io/Logging_0604/kartor/A 51453-2021 karta.png", "A 51453-2021")</f>
        <v/>
      </c>
      <c r="Y43">
        <f>HYPERLINK("https://klasma.github.io/Logging_0604/kartor_geotiff/A 51453-2021 georefererad karta.tif", "A 51453-2021")</f>
        <v/>
      </c>
      <c r="AA43">
        <f>HYPERLINK("https://klasma.github.io/Logging_0604/klagomål/A 51453-2021 FSC-klagomål.docx", "A 51453-2021")</f>
        <v/>
      </c>
      <c r="AB43">
        <f>HYPERLINK("https://klasma.github.io/Logging_0604/klagomålsmail/A 51453-2021 FSC-klagomål mail.docx", "A 51453-2021")</f>
        <v/>
      </c>
      <c r="AC43">
        <f>HYPERLINK("https://klasma.github.io/Logging_0604/tillsyn/A 51453-2021 tillsynsbegäran.docx", "A 51453-2021")</f>
        <v/>
      </c>
      <c r="AD43">
        <f>HYPERLINK("https://klasma.github.io/Logging_0604/tillsynsmail/A 51453-2021 tillsynsbegäran mail.docx", "A 51453-2021")</f>
        <v/>
      </c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46282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46282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46282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46282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73572-2021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44550</v>
      </c>
      <c r="E48" s="1" t="n">
        <v>46282</v>
      </c>
      <c r="F48" t="inlineStr">
        <is>
          <t>JÖNKÖPINGS LÄN</t>
        </is>
      </c>
      <c r="G48" t="inlineStr">
        <is>
          <t>ANEBY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55738-2022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44888</v>
      </c>
      <c r="E49" s="1" t="n">
        <v>46282</v>
      </c>
      <c r="F49" t="inlineStr">
        <is>
          <t>JÖNKÖPINGS LÄN</t>
        </is>
      </c>
      <c r="G49" t="inlineStr">
        <is>
          <t>ANEBY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46282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46282</v>
      </c>
      <c r="F51" t="inlineStr">
        <is>
          <t>JÖNKÖPINGS LÄN</t>
        </is>
      </c>
      <c r="G51" t="inlineStr">
        <is>
          <t>ANEBY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71143-2021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46282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48312-2022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46282</v>
      </c>
      <c r="F53" t="inlineStr">
        <is>
          <t>JÖNKÖPINGS LÄN</t>
        </is>
      </c>
      <c r="G53" t="inlineStr">
        <is>
          <t>ANEBY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46282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46282</v>
      </c>
      <c r="F55" t="inlineStr">
        <is>
          <t>JÖNKÖPINGS LÄN</t>
        </is>
      </c>
      <c r="G55" t="inlineStr">
        <is>
          <t>ANEBY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44624</v>
      </c>
      <c r="E56" s="1" t="n">
        <v>46282</v>
      </c>
      <c r="F56" t="inlineStr">
        <is>
          <t>JÖNKÖPINGS LÄN</t>
        </is>
      </c>
      <c r="G56" t="inlineStr">
        <is>
          <t>ANEBY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46282</v>
      </c>
      <c r="F57" t="inlineStr">
        <is>
          <t>JÖNKÖPINGS LÄN</t>
        </is>
      </c>
      <c r="G57" t="inlineStr">
        <is>
          <t>ANEBY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46282</v>
      </c>
      <c r="F58" t="inlineStr">
        <is>
          <t>JÖNKÖPINGS LÄN</t>
        </is>
      </c>
      <c r="G58" t="inlineStr">
        <is>
          <t>ANEBY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46282</v>
      </c>
      <c r="F59" t="inlineStr">
        <is>
          <t>JÖNKÖPINGS LÄN</t>
        </is>
      </c>
      <c r="G59" t="inlineStr">
        <is>
          <t>ANEBY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46282</v>
      </c>
      <c r="F60" t="inlineStr">
        <is>
          <t>JÖNKÖPINGS LÄN</t>
        </is>
      </c>
      <c r="G60" t="inlineStr">
        <is>
          <t>ANEBY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46282</v>
      </c>
      <c r="F61" t="inlineStr">
        <is>
          <t>JÖNKÖPINGS LÄN</t>
        </is>
      </c>
      <c r="G61" t="inlineStr">
        <is>
          <t>ANEBY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46282</v>
      </c>
      <c r="F62" t="inlineStr">
        <is>
          <t>JÖNKÖPINGS LÄN</t>
        </is>
      </c>
      <c r="G62" t="inlineStr">
        <is>
          <t>ANEBY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46282</v>
      </c>
      <c r="F63" t="inlineStr">
        <is>
          <t>JÖNKÖPINGS LÄN</t>
        </is>
      </c>
      <c r="G63" t="inlineStr">
        <is>
          <t>ANEBY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46282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46282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46282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46282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44565</v>
      </c>
      <c r="E68" s="1" t="n">
        <v>46282</v>
      </c>
      <c r="F68" t="inlineStr">
        <is>
          <t>JÖNKÖPINGS LÄN</t>
        </is>
      </c>
      <c r="G68" t="inlineStr">
        <is>
          <t>ANEBY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46282</v>
      </c>
      <c r="F69" t="inlineStr">
        <is>
          <t>JÖNKÖPINGS LÄN</t>
        </is>
      </c>
      <c r="G69" t="inlineStr">
        <is>
          <t>ANEBY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44503</v>
      </c>
      <c r="E70" s="1" t="n">
        <v>46282</v>
      </c>
      <c r="F70" t="inlineStr">
        <is>
          <t>JÖNKÖPINGS LÄN</t>
        </is>
      </c>
      <c r="G70" t="inlineStr">
        <is>
          <t>ANEBY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46282</v>
      </c>
      <c r="F71" t="inlineStr">
        <is>
          <t>JÖNKÖPINGS LÄN</t>
        </is>
      </c>
      <c r="G71" t="inlineStr">
        <is>
          <t>ANEBY</t>
        </is>
      </c>
      <c r="H71" t="inlineStr">
        <is>
          <t>Övriga Aktiebolag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44888</v>
      </c>
      <c r="E72" s="1" t="n">
        <v>46282</v>
      </c>
      <c r="F72" t="inlineStr">
        <is>
          <t>JÖNKÖPINGS LÄN</t>
        </is>
      </c>
      <c r="G72" t="inlineStr">
        <is>
          <t>ANEBY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46282</v>
      </c>
      <c r="F73" t="inlineStr">
        <is>
          <t>JÖNKÖPINGS LÄN</t>
        </is>
      </c>
      <c r="G73" t="inlineStr">
        <is>
          <t>ANEBY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46282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46282</v>
      </c>
      <c r="F75" t="inlineStr">
        <is>
          <t>JÖNKÖPINGS LÄN</t>
        </is>
      </c>
      <c r="G75" t="inlineStr">
        <is>
          <t>ANEBY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46282</v>
      </c>
      <c r="F76" t="inlineStr">
        <is>
          <t>JÖNKÖPINGS LÄN</t>
        </is>
      </c>
      <c r="G76" t="inlineStr">
        <is>
          <t>ANEBY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46282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33048-2023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46282</v>
      </c>
      <c r="F78" t="inlineStr">
        <is>
          <t>JÖNKÖPINGS LÄN</t>
        </is>
      </c>
      <c r="G78" t="inlineStr">
        <is>
          <t>ANEBY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19362-2025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45769</v>
      </c>
      <c r="E79" s="1" t="n">
        <v>46282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45182</v>
      </c>
      <c r="E80" s="1" t="n">
        <v>46282</v>
      </c>
      <c r="F80" t="inlineStr">
        <is>
          <t>JÖNKÖPINGS LÄN</t>
        </is>
      </c>
      <c r="G80" t="inlineStr">
        <is>
          <t>ANEBY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46282</v>
      </c>
      <c r="F81" t="inlineStr">
        <is>
          <t>JÖNKÖPINGS LÄN</t>
        </is>
      </c>
      <c r="G81" t="inlineStr">
        <is>
          <t>ANEBY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10017-2023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44985</v>
      </c>
      <c r="E82" s="1" t="n">
        <v>46282</v>
      </c>
      <c r="F82" t="inlineStr">
        <is>
          <t>JÖNKÖPINGS LÄN</t>
        </is>
      </c>
      <c r="G82" t="inlineStr">
        <is>
          <t>ANEBY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46282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46282</v>
      </c>
      <c r="F84" t="inlineStr">
        <is>
          <t>JÖNKÖPINGS LÄN</t>
        </is>
      </c>
      <c r="G84" t="inlineStr">
        <is>
          <t>ANEBY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55688-2022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44888</v>
      </c>
      <c r="E85" s="1" t="n">
        <v>46282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46282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46282</v>
      </c>
      <c r="F87" t="inlineStr">
        <is>
          <t>JÖNKÖPINGS LÄN</t>
        </is>
      </c>
      <c r="G87" t="inlineStr">
        <is>
          <t>ANEBY</t>
        </is>
      </c>
      <c r="H87" t="inlineStr">
        <is>
          <t>Sveaskog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46282</v>
      </c>
      <c r="F88" t="inlineStr">
        <is>
          <t>JÖNKÖPINGS LÄN</t>
        </is>
      </c>
      <c r="G88" t="inlineStr">
        <is>
          <t>ANEBY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45122</v>
      </c>
      <c r="E89" s="1" t="n">
        <v>46282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46282</v>
      </c>
      <c r="F90" t="inlineStr">
        <is>
          <t>JÖNKÖPINGS LÄN</t>
        </is>
      </c>
      <c r="G90" t="inlineStr">
        <is>
          <t>ANEBY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45384</v>
      </c>
      <c r="E91" s="1" t="n">
        <v>46282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49427-2023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45205</v>
      </c>
      <c r="E92" s="1" t="n">
        <v>46282</v>
      </c>
      <c r="F92" t="inlineStr">
        <is>
          <t>JÖNKÖPINGS LÄN</t>
        </is>
      </c>
      <c r="G92" t="inlineStr">
        <is>
          <t>ANEBY</t>
        </is>
      </c>
      <c r="H92" t="inlineStr">
        <is>
          <t>Övriga Aktiebolag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46282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46282</v>
      </c>
      <c r="F94" t="inlineStr">
        <is>
          <t>JÖNKÖPINGS LÄN</t>
        </is>
      </c>
      <c r="G94" t="inlineStr">
        <is>
          <t>ANEBY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11565-2025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45727</v>
      </c>
      <c r="E95" s="1" t="n">
        <v>46282</v>
      </c>
      <c r="F95" t="inlineStr">
        <is>
          <t>JÖNKÖPINGS LÄN</t>
        </is>
      </c>
      <c r="G95" t="inlineStr">
        <is>
          <t>ANEBY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46282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45653</v>
      </c>
      <c r="E97" s="1" t="n">
        <v>46282</v>
      </c>
      <c r="F97" t="inlineStr">
        <is>
          <t>JÖNKÖPINGS LÄN</t>
        </is>
      </c>
      <c r="G97" t="inlineStr">
        <is>
          <t>ANEBY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46282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24901-2024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45461</v>
      </c>
      <c r="E99" s="1" t="n">
        <v>46282</v>
      </c>
      <c r="F99" t="inlineStr">
        <is>
          <t>JÖNKÖPINGS LÄN</t>
        </is>
      </c>
      <c r="G99" t="inlineStr">
        <is>
          <t>ANEBY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46282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35555-2024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46282</v>
      </c>
      <c r="F101" t="inlineStr">
        <is>
          <t>JÖNKÖPINGS LÄN</t>
        </is>
      </c>
      <c r="G101" t="inlineStr">
        <is>
          <t>ANEBY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46282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46282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46282</v>
      </c>
      <c r="F104" t="inlineStr">
        <is>
          <t>JÖNKÖPINGS LÄN</t>
        </is>
      </c>
      <c r="G104" t="inlineStr">
        <is>
          <t>ANEBY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46030</v>
      </c>
      <c r="E105" s="1" t="n">
        <v>46282</v>
      </c>
      <c r="F105" t="inlineStr">
        <is>
          <t>JÖNKÖPINGS LÄN</t>
        </is>
      </c>
      <c r="G105" t="inlineStr">
        <is>
          <t>ANEBY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46282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46282</v>
      </c>
      <c r="F107" t="inlineStr">
        <is>
          <t>JÖNKÖPINGS LÄN</t>
        </is>
      </c>
      <c r="G107" t="inlineStr">
        <is>
          <t>ANEBY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46282</v>
      </c>
      <c r="F108" t="inlineStr">
        <is>
          <t>JÖNKÖPINGS LÄN</t>
        </is>
      </c>
      <c r="G108" t="inlineStr">
        <is>
          <t>ANEBY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46282</v>
      </c>
      <c r="F109" t="inlineStr">
        <is>
          <t>JÖNKÖPINGS LÄN</t>
        </is>
      </c>
      <c r="G109" t="inlineStr">
        <is>
          <t>ANEBY</t>
        </is>
      </c>
      <c r="I109" t="n">
        <v>10.1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46282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45840</v>
      </c>
      <c r="E111" s="1" t="n">
        <v>46282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46282</v>
      </c>
      <c r="F112" t="inlineStr">
        <is>
          <t>JÖNKÖPINGS LÄN</t>
        </is>
      </c>
      <c r="G112" t="inlineStr">
        <is>
          <t>ANEBY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46282</v>
      </c>
      <c r="F113" t="inlineStr">
        <is>
          <t>JÖNKÖPINGS LÄN</t>
        </is>
      </c>
      <c r="G113" t="inlineStr">
        <is>
          <t>ANEBY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46282</v>
      </c>
      <c r="F114" t="inlineStr">
        <is>
          <t>JÖNKÖPINGS LÄN</t>
        </is>
      </c>
      <c r="G114" t="inlineStr">
        <is>
          <t>ANEBY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45183</v>
      </c>
      <c r="E115" s="1" t="n">
        <v>46282</v>
      </c>
      <c r="F115" t="inlineStr">
        <is>
          <t>JÖNKÖPINGS LÄN</t>
        </is>
      </c>
      <c r="G115" t="inlineStr">
        <is>
          <t>ANEBY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45304</v>
      </c>
      <c r="E116" s="1" t="n">
        <v>46282</v>
      </c>
      <c r="F116" t="inlineStr">
        <is>
          <t>JÖNKÖPINGS LÄN</t>
        </is>
      </c>
      <c r="G116" t="inlineStr">
        <is>
          <t>ANEBY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46282</v>
      </c>
      <c r="F117" t="inlineStr">
        <is>
          <t>JÖNKÖPINGS LÄN</t>
        </is>
      </c>
      <c r="G117" t="inlineStr">
        <is>
          <t>ANEBY</t>
        </is>
      </c>
      <c r="H117" t="inlineStr">
        <is>
          <t>Övriga Aktiebolag</t>
        </is>
      </c>
      <c r="I117" t="n">
        <v>16.8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46282</v>
      </c>
      <c r="F118" t="inlineStr">
        <is>
          <t>JÖNKÖPINGS LÄN</t>
        </is>
      </c>
      <c r="G118" t="inlineStr">
        <is>
          <t>ANEBY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27714-2024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45475</v>
      </c>
      <c r="E119" s="1" t="n">
        <v>46282</v>
      </c>
      <c r="F119" t="inlineStr">
        <is>
          <t>JÖNKÖPINGS LÄN</t>
        </is>
      </c>
      <c r="G119" t="inlineStr">
        <is>
          <t>ANEBY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46282</v>
      </c>
      <c r="F120" t="inlineStr">
        <is>
          <t>JÖNKÖPINGS LÄN</t>
        </is>
      </c>
      <c r="G120" t="inlineStr">
        <is>
          <t>ANEBY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46282</v>
      </c>
      <c r="F121" t="inlineStr">
        <is>
          <t>JÖNKÖPINGS LÄN</t>
        </is>
      </c>
      <c r="G121" t="inlineStr">
        <is>
          <t>ANEBY</t>
        </is>
      </c>
      <c r="H121" t="inlineStr">
        <is>
          <t>Övriga Aktiebolag</t>
        </is>
      </c>
      <c r="I121" t="n">
        <v>6.4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46282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46282</v>
      </c>
      <c r="F123" t="inlineStr">
        <is>
          <t>JÖNKÖPINGS LÄN</t>
        </is>
      </c>
      <c r="G123" t="inlineStr">
        <is>
          <t>ANEBY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46282</v>
      </c>
      <c r="F124" t="inlineStr">
        <is>
          <t>JÖNKÖPINGS LÄN</t>
        </is>
      </c>
      <c r="G124" t="inlineStr">
        <is>
          <t>ANEBY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46282</v>
      </c>
      <c r="F125" t="inlineStr">
        <is>
          <t>JÖNKÖPINGS LÄN</t>
        </is>
      </c>
      <c r="G125" t="inlineStr">
        <is>
          <t>ANEBY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46282</v>
      </c>
      <c r="F126" t="inlineStr">
        <is>
          <t>JÖNKÖPINGS LÄN</t>
        </is>
      </c>
      <c r="G126" t="inlineStr">
        <is>
          <t>ANEBY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46282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49133-2022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44860</v>
      </c>
      <c r="E128" s="1" t="n">
        <v>46282</v>
      </c>
      <c r="F128" t="inlineStr">
        <is>
          <t>JÖNKÖPINGS LÄN</t>
        </is>
      </c>
      <c r="G128" t="inlineStr">
        <is>
          <t>ANEBY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57174-2021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46282</v>
      </c>
      <c r="F129" t="inlineStr">
        <is>
          <t>JÖNKÖPINGS LÄN</t>
        </is>
      </c>
      <c r="G129" t="inlineStr">
        <is>
          <t>ANEBY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43528-2025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45911</v>
      </c>
      <c r="E130" s="1" t="n">
        <v>46282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46282</v>
      </c>
      <c r="F131" t="inlineStr">
        <is>
          <t>JÖNKÖPINGS LÄN</t>
        </is>
      </c>
      <c r="G131" t="inlineStr">
        <is>
          <t>ANEBY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46282</v>
      </c>
      <c r="F132" t="inlineStr">
        <is>
          <t>JÖNKÖPINGS LÄN</t>
        </is>
      </c>
      <c r="G132" t="inlineStr">
        <is>
          <t>ANEBY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46282</v>
      </c>
      <c r="F133" t="inlineStr">
        <is>
          <t>JÖNKÖPINGS LÄN</t>
        </is>
      </c>
      <c r="G133" t="inlineStr">
        <is>
          <t>ANEBY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46282</v>
      </c>
      <c r="F134" t="inlineStr">
        <is>
          <t>JÖNKÖPINGS LÄN</t>
        </is>
      </c>
      <c r="G134" t="inlineStr">
        <is>
          <t>ANEBY</t>
        </is>
      </c>
      <c r="H134" t="inlineStr">
        <is>
          <t>Sveaskog</t>
        </is>
      </c>
      <c r="I134" t="n">
        <v>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45330</v>
      </c>
      <c r="E135" s="1" t="n">
        <v>46282</v>
      </c>
      <c r="F135" t="inlineStr">
        <is>
          <t>JÖNKÖPINGS LÄN</t>
        </is>
      </c>
      <c r="G135" t="inlineStr">
        <is>
          <t>ANEBY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46282</v>
      </c>
      <c r="F136" t="inlineStr">
        <is>
          <t>JÖNKÖPINGS LÄN</t>
        </is>
      </c>
      <c r="G136" t="inlineStr">
        <is>
          <t>ANEBY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46282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45357</v>
      </c>
      <c r="E138" s="1" t="n">
        <v>46282</v>
      </c>
      <c r="F138" t="inlineStr">
        <is>
          <t>JÖNKÖPINGS LÄN</t>
        </is>
      </c>
      <c r="G138" t="inlineStr">
        <is>
          <t>ANEBY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48728-2025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46282</v>
      </c>
      <c r="F139" t="inlineStr">
        <is>
          <t>JÖNKÖPINGS LÄN</t>
        </is>
      </c>
      <c r="G139" t="inlineStr">
        <is>
          <t>ANEBY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46282</v>
      </c>
      <c r="F140" t="inlineStr">
        <is>
          <t>JÖNKÖPINGS LÄN</t>
        </is>
      </c>
      <c r="G140" t="inlineStr">
        <is>
          <t>ANEBY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45086</v>
      </c>
      <c r="E141" s="1" t="n">
        <v>46282</v>
      </c>
      <c r="F141" t="inlineStr">
        <is>
          <t>JÖNKÖPINGS LÄN</t>
        </is>
      </c>
      <c r="G141" t="inlineStr">
        <is>
          <t>ANEBY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50744-2025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46282</v>
      </c>
      <c r="F142" t="inlineStr">
        <is>
          <t>JÖNKÖPINGS LÄN</t>
        </is>
      </c>
      <c r="G142" t="inlineStr">
        <is>
          <t>ANEBY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45124</v>
      </c>
      <c r="E143" s="1" t="n">
        <v>46282</v>
      </c>
      <c r="F143" t="inlineStr">
        <is>
          <t>JÖNKÖPINGS LÄN</t>
        </is>
      </c>
      <c r="G143" t="inlineStr">
        <is>
          <t>ANEBY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46282</v>
      </c>
      <c r="F144" t="inlineStr">
        <is>
          <t>JÖNKÖPINGS LÄN</t>
        </is>
      </c>
      <c r="G144" t="inlineStr">
        <is>
          <t>ANEBY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46282</v>
      </c>
      <c r="F145" t="inlineStr">
        <is>
          <t>JÖNKÖPINGS LÄN</t>
        </is>
      </c>
      <c r="G145" t="inlineStr">
        <is>
          <t>ANEBY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57170-2021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46282</v>
      </c>
      <c r="F146" t="inlineStr">
        <is>
          <t>JÖNKÖPINGS LÄN</t>
        </is>
      </c>
      <c r="G146" t="inlineStr">
        <is>
          <t>ANEBY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21026-2024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45439</v>
      </c>
      <c r="E147" s="1" t="n">
        <v>46282</v>
      </c>
      <c r="F147" t="inlineStr">
        <is>
          <t>JÖNKÖPINGS LÄN</t>
        </is>
      </c>
      <c r="G147" t="inlineStr">
        <is>
          <t>ANEBY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46282</v>
      </c>
      <c r="F148" t="inlineStr">
        <is>
          <t>JÖNKÖPINGS LÄN</t>
        </is>
      </c>
      <c r="G148" t="inlineStr">
        <is>
          <t>ANEBY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35773-2023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45148</v>
      </c>
      <c r="E149" s="1" t="n">
        <v>46282</v>
      </c>
      <c r="F149" t="inlineStr">
        <is>
          <t>JÖNKÖPINGS LÄN</t>
        </is>
      </c>
      <c r="G149" t="inlineStr">
        <is>
          <t>ANEBY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44481</v>
      </c>
      <c r="E150" s="1" t="n">
        <v>46282</v>
      </c>
      <c r="F150" t="inlineStr">
        <is>
          <t>JÖNKÖPINGS LÄN</t>
        </is>
      </c>
      <c r="G150" t="inlineStr">
        <is>
          <t>ANEBY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46282</v>
      </c>
      <c r="F151" t="inlineStr">
        <is>
          <t>JÖNKÖPINGS LÄN</t>
        </is>
      </c>
      <c r="G151" t="inlineStr">
        <is>
          <t>ANEBY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46056</v>
      </c>
      <c r="E152" s="1" t="n">
        <v>46282</v>
      </c>
      <c r="F152" t="inlineStr">
        <is>
          <t>JÖNKÖPINGS LÄN</t>
        </is>
      </c>
      <c r="G152" t="inlineStr">
        <is>
          <t>ANEBY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6827-2026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46057</v>
      </c>
      <c r="E153" s="1" t="n">
        <v>46282</v>
      </c>
      <c r="F153" t="inlineStr">
        <is>
          <t>JÖNKÖPINGS LÄN</t>
        </is>
      </c>
      <c r="G153" t="inlineStr">
        <is>
          <t>ANEBY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46282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46282</v>
      </c>
      <c r="F155" t="inlineStr">
        <is>
          <t>JÖNKÖPINGS LÄN</t>
        </is>
      </c>
      <c r="G155" t="inlineStr">
        <is>
          <t>ANEBY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46282</v>
      </c>
      <c r="F156" t="inlineStr">
        <is>
          <t>JÖNKÖPINGS LÄN</t>
        </is>
      </c>
      <c r="G156" t="inlineStr">
        <is>
          <t>ANEBY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46282</v>
      </c>
      <c r="F157" t="inlineStr">
        <is>
          <t>JÖNKÖPINGS LÄN</t>
        </is>
      </c>
      <c r="G157" t="inlineStr">
        <is>
          <t>ANEBY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7263-2026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46058</v>
      </c>
      <c r="E158" s="1" t="n">
        <v>46282</v>
      </c>
      <c r="F158" t="inlineStr">
        <is>
          <t>JÖNKÖPINGS LÄN</t>
        </is>
      </c>
      <c r="G158" t="inlineStr">
        <is>
          <t>ANEBY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46282</v>
      </c>
      <c r="F159" t="inlineStr">
        <is>
          <t>JÖNKÖPINGS LÄN</t>
        </is>
      </c>
      <c r="G159" t="inlineStr">
        <is>
          <t>ANEBY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46282</v>
      </c>
      <c r="F160" t="inlineStr">
        <is>
          <t>JÖNKÖPINGS LÄN</t>
        </is>
      </c>
      <c r="G160" t="inlineStr">
        <is>
          <t>ANEBY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46282</v>
      </c>
      <c r="F161" t="inlineStr">
        <is>
          <t>JÖNKÖPINGS LÄN</t>
        </is>
      </c>
      <c r="G161" t="inlineStr">
        <is>
          <t>ANEBY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46282</v>
      </c>
      <c r="F162" t="inlineStr">
        <is>
          <t>JÖNKÖPINGS LÄN</t>
        </is>
      </c>
      <c r="G162" t="inlineStr">
        <is>
          <t>ANEBY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46282</v>
      </c>
      <c r="F163" t="inlineStr">
        <is>
          <t>JÖNKÖPINGS LÄN</t>
        </is>
      </c>
      <c r="G163" t="inlineStr">
        <is>
          <t>ANEBY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46282</v>
      </c>
      <c r="F164" t="inlineStr">
        <is>
          <t>JÖNKÖPINGS LÄN</t>
        </is>
      </c>
      <c r="G164" t="inlineStr">
        <is>
          <t>ANEBY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46282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46282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45691</v>
      </c>
      <c r="E167" s="1" t="n">
        <v>46282</v>
      </c>
      <c r="F167" t="inlineStr">
        <is>
          <t>JÖNKÖPINGS LÄN</t>
        </is>
      </c>
      <c r="G167" t="inlineStr">
        <is>
          <t>ANEBY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46282</v>
      </c>
      <c r="F168" t="inlineStr">
        <is>
          <t>JÖNKÖPINGS LÄN</t>
        </is>
      </c>
      <c r="G168" t="inlineStr">
        <is>
          <t>ANEBY</t>
        </is>
      </c>
      <c r="H168" t="inlineStr">
        <is>
          <t>Övriga Aktiebolag</t>
        </is>
      </c>
      <c r="I168" t="n">
        <v>19.6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46282</v>
      </c>
      <c r="F169" t="inlineStr">
        <is>
          <t>JÖNKÖPINGS LÄN</t>
        </is>
      </c>
      <c r="G169" t="inlineStr">
        <is>
          <t>ANEBY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46282</v>
      </c>
      <c r="F170" t="inlineStr">
        <is>
          <t>JÖNKÖPINGS LÄN</t>
        </is>
      </c>
      <c r="G170" t="inlineStr">
        <is>
          <t>ANEBY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45159</v>
      </c>
      <c r="E171" s="1" t="n">
        <v>46282</v>
      </c>
      <c r="F171" t="inlineStr">
        <is>
          <t>JÖNKÖPINGS LÄN</t>
        </is>
      </c>
      <c r="G171" t="inlineStr">
        <is>
          <t>ANEBY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57504-2025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46282</v>
      </c>
      <c r="F172" t="inlineStr">
        <is>
          <t>JÖNKÖPINGS LÄN</t>
        </is>
      </c>
      <c r="G172" t="inlineStr">
        <is>
          <t>ANEBY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46073</v>
      </c>
      <c r="E173" s="1" t="n">
        <v>46282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45982</v>
      </c>
      <c r="E174" s="1" t="n">
        <v>46282</v>
      </c>
      <c r="F174" t="inlineStr">
        <is>
          <t>JÖNKÖPINGS LÄN</t>
        </is>
      </c>
      <c r="G174" t="inlineStr">
        <is>
          <t>ANEBY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45552</v>
      </c>
      <c r="E175" s="1" t="n">
        <v>46282</v>
      </c>
      <c r="F175" t="inlineStr">
        <is>
          <t>JÖNKÖPINGS LÄN</t>
        </is>
      </c>
      <c r="G175" t="inlineStr">
        <is>
          <t>ANEBY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46076</v>
      </c>
      <c r="E176" s="1" t="n">
        <v>46282</v>
      </c>
      <c r="F176" t="inlineStr">
        <is>
          <t>JÖNKÖPINGS LÄN</t>
        </is>
      </c>
      <c r="G176" t="inlineStr">
        <is>
          <t>ANEBY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46282</v>
      </c>
      <c r="F177" t="inlineStr">
        <is>
          <t>JÖNKÖPINGS LÄN</t>
        </is>
      </c>
      <c r="G177" t="inlineStr">
        <is>
          <t>ANEBY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46282</v>
      </c>
      <c r="F178" t="inlineStr">
        <is>
          <t>JÖNKÖPINGS LÄN</t>
        </is>
      </c>
      <c r="G178" t="inlineStr">
        <is>
          <t>ANEBY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46282</v>
      </c>
      <c r="F179" t="inlineStr">
        <is>
          <t>JÖNKÖPINGS LÄN</t>
        </is>
      </c>
      <c r="G179" t="inlineStr">
        <is>
          <t>ANEBY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46282</v>
      </c>
      <c r="F180" t="inlineStr">
        <is>
          <t>JÖNKÖPINGS LÄN</t>
        </is>
      </c>
      <c r="G180" t="inlineStr">
        <is>
          <t>ANEBY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45806-2023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46282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46282</v>
      </c>
      <c r="F182" t="inlineStr">
        <is>
          <t>JÖNKÖPINGS LÄN</t>
        </is>
      </c>
      <c r="G182" t="inlineStr">
        <is>
          <t>ANEBY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46282</v>
      </c>
      <c r="F183" t="inlineStr">
        <is>
          <t>JÖNKÖPINGS LÄN</t>
        </is>
      </c>
      <c r="G183" t="inlineStr">
        <is>
          <t>ANEBY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46282</v>
      </c>
      <c r="F184" t="inlineStr">
        <is>
          <t>JÖNKÖPINGS LÄN</t>
        </is>
      </c>
      <c r="G184" t="inlineStr">
        <is>
          <t>ANEBY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45572</v>
      </c>
      <c r="E185" s="1" t="n">
        <v>46282</v>
      </c>
      <c r="F185" t="inlineStr">
        <is>
          <t>JÖNKÖPINGS LÄN</t>
        </is>
      </c>
      <c r="G185" t="inlineStr">
        <is>
          <t>ANEBY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46282</v>
      </c>
      <c r="F186" t="inlineStr">
        <is>
          <t>JÖNKÖPINGS LÄN</t>
        </is>
      </c>
      <c r="G186" t="inlineStr">
        <is>
          <t>ANEBY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46282</v>
      </c>
      <c r="F187" t="inlineStr">
        <is>
          <t>JÖNKÖPINGS LÄN</t>
        </is>
      </c>
      <c r="G187" t="inlineStr">
        <is>
          <t>ANEBY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46006</v>
      </c>
      <c r="E188" s="1" t="n">
        <v>46282</v>
      </c>
      <c r="F188" t="inlineStr">
        <is>
          <t>JÖNKÖPINGS LÄN</t>
        </is>
      </c>
      <c r="G188" t="inlineStr">
        <is>
          <t>ANEBY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46006</v>
      </c>
      <c r="E189" s="1" t="n">
        <v>46282</v>
      </c>
      <c r="F189" t="inlineStr">
        <is>
          <t>JÖNKÖPINGS LÄN</t>
        </is>
      </c>
      <c r="G189" t="inlineStr">
        <is>
          <t>ANEBY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46282</v>
      </c>
      <c r="F190" t="inlineStr">
        <is>
          <t>JÖNKÖPINGS LÄN</t>
        </is>
      </c>
      <c r="G190" t="inlineStr">
        <is>
          <t>ANEBY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46093</v>
      </c>
      <c r="E191" s="1" t="n">
        <v>46282</v>
      </c>
      <c r="F191" t="inlineStr">
        <is>
          <t>JÖNKÖPINGS LÄN</t>
        </is>
      </c>
      <c r="G191" t="inlineStr">
        <is>
          <t>ANEBY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46020</v>
      </c>
      <c r="E192" s="1" t="n">
        <v>46282</v>
      </c>
      <c r="F192" t="inlineStr">
        <is>
          <t>JÖNKÖPINGS LÄN</t>
        </is>
      </c>
      <c r="G192" t="inlineStr">
        <is>
          <t>ANEBY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46021</v>
      </c>
      <c r="E193" s="1" t="n">
        <v>46282</v>
      </c>
      <c r="F193" t="inlineStr">
        <is>
          <t>JÖNKÖPINGS LÄN</t>
        </is>
      </c>
      <c r="G193" t="inlineStr">
        <is>
          <t>ANEBY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44606</v>
      </c>
      <c r="E194" s="1" t="n">
        <v>46282</v>
      </c>
      <c r="F194" t="inlineStr">
        <is>
          <t>JÖNKÖPINGS LÄN</t>
        </is>
      </c>
      <c r="G194" t="inlineStr">
        <is>
          <t>ANEBY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63991-2025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46021</v>
      </c>
      <c r="E195" s="1" t="n">
        <v>46282</v>
      </c>
      <c r="F195" t="inlineStr">
        <is>
          <t>JÖNKÖPINGS LÄN</t>
        </is>
      </c>
      <c r="G195" t="inlineStr">
        <is>
          <t>ANEBY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46098</v>
      </c>
      <c r="E196" s="1" t="n">
        <v>46282</v>
      </c>
      <c r="F196" t="inlineStr">
        <is>
          <t>JÖNKÖPINGS LÄN</t>
        </is>
      </c>
      <c r="G196" t="inlineStr">
        <is>
          <t>ANEBY</t>
        </is>
      </c>
      <c r="H196" t="inlineStr">
        <is>
          <t>Övriga Aktiebolag</t>
        </is>
      </c>
      <c r="I196" t="n">
        <v>20.7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14323-2024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46282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46282</v>
      </c>
      <c r="F198" t="inlineStr">
        <is>
          <t>JÖNKÖPINGS LÄN</t>
        </is>
      </c>
      <c r="G198" t="inlineStr">
        <is>
          <t>ANEBY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46282</v>
      </c>
      <c r="F199" t="inlineStr">
        <is>
          <t>JÖNKÖPINGS LÄN</t>
        </is>
      </c>
      <c r="G199" t="inlineStr">
        <is>
          <t>ANEBY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44985</v>
      </c>
      <c r="E200" s="1" t="n">
        <v>46282</v>
      </c>
      <c r="F200" t="inlineStr">
        <is>
          <t>JÖNKÖPINGS LÄN</t>
        </is>
      </c>
      <c r="G200" t="inlineStr">
        <is>
          <t>ANEBY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46104</v>
      </c>
      <c r="E201" s="1" t="n">
        <v>46282</v>
      </c>
      <c r="F201" t="inlineStr">
        <is>
          <t>JÖNKÖPINGS LÄN</t>
        </is>
      </c>
      <c r="G201" t="inlineStr">
        <is>
          <t>ANEBY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46282</v>
      </c>
      <c r="F202" t="inlineStr">
        <is>
          <t>JÖNKÖPINGS LÄN</t>
        </is>
      </c>
      <c r="G202" t="inlineStr">
        <is>
          <t>ANEBY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45454</v>
      </c>
      <c r="E203" s="1" t="n">
        <v>46282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46282</v>
      </c>
      <c r="F204" t="inlineStr">
        <is>
          <t>JÖNKÖPINGS LÄN</t>
        </is>
      </c>
      <c r="G204" t="inlineStr">
        <is>
          <t>ANEBY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46282</v>
      </c>
      <c r="F205" t="inlineStr">
        <is>
          <t>JÖNKÖPINGS LÄN</t>
        </is>
      </c>
      <c r="G205" t="inlineStr">
        <is>
          <t>ANEBY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46282</v>
      </c>
      <c r="F206" t="inlineStr">
        <is>
          <t>JÖNKÖPINGS LÄN</t>
        </is>
      </c>
      <c r="G206" t="inlineStr">
        <is>
          <t>ANEBY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46282</v>
      </c>
      <c r="F207" t="inlineStr">
        <is>
          <t>JÖNKÖPINGS LÄN</t>
        </is>
      </c>
      <c r="G207" t="inlineStr">
        <is>
          <t>ANEBY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46282</v>
      </c>
      <c r="F208" t="inlineStr">
        <is>
          <t>JÖNKÖPINGS LÄN</t>
        </is>
      </c>
      <c r="G208" t="inlineStr">
        <is>
          <t>ANEBY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46282</v>
      </c>
      <c r="F209" t="inlineStr">
        <is>
          <t>JÖNKÖPINGS LÄN</t>
        </is>
      </c>
      <c r="G209" t="inlineStr">
        <is>
          <t>ANEBY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46282</v>
      </c>
      <c r="F210" t="inlineStr">
        <is>
          <t>JÖNKÖPINGS LÄN</t>
        </is>
      </c>
      <c r="G210" t="inlineStr">
        <is>
          <t>ANEBY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46282</v>
      </c>
      <c r="F211" t="inlineStr">
        <is>
          <t>JÖNKÖPINGS LÄN</t>
        </is>
      </c>
      <c r="G211" t="inlineStr">
        <is>
          <t>ANEBY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46282</v>
      </c>
      <c r="F212" t="inlineStr">
        <is>
          <t>JÖNKÖPINGS LÄN</t>
        </is>
      </c>
      <c r="G212" t="inlineStr">
        <is>
          <t>ANEBY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46282</v>
      </c>
      <c r="F213" t="inlineStr">
        <is>
          <t>JÖNKÖPINGS LÄN</t>
        </is>
      </c>
      <c r="G213" t="inlineStr">
        <is>
          <t>ANEBY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45379</v>
      </c>
      <c r="E214" s="1" t="n">
        <v>46282</v>
      </c>
      <c r="F214" t="inlineStr">
        <is>
          <t>JÖNKÖPINGS LÄN</t>
        </is>
      </c>
      <c r="G214" t="inlineStr">
        <is>
          <t>ANEBY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46282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46282</v>
      </c>
      <c r="F216" t="inlineStr">
        <is>
          <t>JÖNKÖPINGS LÄN</t>
        </is>
      </c>
      <c r="G216" t="inlineStr">
        <is>
          <t>ANEBY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46282</v>
      </c>
      <c r="F217" t="inlineStr">
        <is>
          <t>JÖNKÖPINGS LÄN</t>
        </is>
      </c>
      <c r="G217" t="inlineStr">
        <is>
          <t>ANEBY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45357</v>
      </c>
      <c r="E218" s="1" t="n">
        <v>46282</v>
      </c>
      <c r="F218" t="inlineStr">
        <is>
          <t>JÖNKÖPINGS LÄN</t>
        </is>
      </c>
      <c r="G218" t="inlineStr">
        <is>
          <t>ANEBY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46282</v>
      </c>
      <c r="F219" t="inlineStr">
        <is>
          <t>JÖNKÖPINGS LÄN</t>
        </is>
      </c>
      <c r="G219" t="inlineStr">
        <is>
          <t>ANEBY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46282</v>
      </c>
      <c r="F220" t="inlineStr">
        <is>
          <t>JÖNKÖPINGS LÄN</t>
        </is>
      </c>
      <c r="G220" t="inlineStr">
        <is>
          <t>ANEBY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46282</v>
      </c>
      <c r="F221" t="inlineStr">
        <is>
          <t>JÖNKÖPINGS LÄN</t>
        </is>
      </c>
      <c r="G221" t="inlineStr">
        <is>
          <t>ANEBY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44952</v>
      </c>
      <c r="E222" s="1" t="n">
        <v>46282</v>
      </c>
      <c r="F222" t="inlineStr">
        <is>
          <t>JÖNKÖPINGS LÄN</t>
        </is>
      </c>
      <c r="G222" t="inlineStr">
        <is>
          <t>ANEBY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46282</v>
      </c>
      <c r="F223" t="inlineStr">
        <is>
          <t>JÖNKÖPINGS LÄN</t>
        </is>
      </c>
      <c r="G223" t="inlineStr">
        <is>
          <t>ANEBY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73166-2021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44550</v>
      </c>
      <c r="E224" s="1" t="n">
        <v>46282</v>
      </c>
      <c r="F224" t="inlineStr">
        <is>
          <t>JÖNKÖPINGS LÄN</t>
        </is>
      </c>
      <c r="G224" t="inlineStr">
        <is>
          <t>ANEBY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44623</v>
      </c>
      <c r="E225" s="1" t="n">
        <v>46282</v>
      </c>
      <c r="F225" t="inlineStr">
        <is>
          <t>JÖNKÖPINGS LÄN</t>
        </is>
      </c>
      <c r="G225" t="inlineStr">
        <is>
          <t>ANEBY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23349-2023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45076</v>
      </c>
      <c r="E226" s="1" t="n">
        <v>46282</v>
      </c>
      <c r="F226" t="inlineStr">
        <is>
          <t>JÖNKÖPINGS LÄN</t>
        </is>
      </c>
      <c r="G226" t="inlineStr">
        <is>
          <t>ANEBY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45393</v>
      </c>
      <c r="E227" s="1" t="n">
        <v>46282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45467</v>
      </c>
      <c r="E228" s="1" t="n">
        <v>46282</v>
      </c>
      <c r="F228" t="inlineStr">
        <is>
          <t>JÖNKÖPINGS LÄN</t>
        </is>
      </c>
      <c r="G228" t="inlineStr">
        <is>
          <t>ANEBY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Z228">
        <f>HYPERLINK("https://klasma.github.io/Logging_0604/knärot/A 25963-2024 karta knärot.png", "A 25963-2024")</f>
        <v/>
      </c>
      <c r="AA228">
        <f>HYPERLINK("https://klasma.github.io/Logging_0604/klagomål/A 25963-2024 FSC-klagomål.docx", "A 25963-2024")</f>
        <v/>
      </c>
      <c r="AB228">
        <f>HYPERLINK("https://klasma.github.io/Logging_0604/klagomålsmail/A 25963-2024 FSC-klagomål mail.docx", "A 25963-2024")</f>
        <v/>
      </c>
      <c r="AC228">
        <f>HYPERLINK("https://klasma.github.io/Logging_0604/tillsyn/A 25963-2024 tillsynsbegäran.docx", "A 25963-2024")</f>
        <v/>
      </c>
      <c r="AD228">
        <f>HYPERLINK("https://klasma.github.io/Logging_0604/tillsynsmail/A 25963-2024 tillsynsbegäran mail.docx", "A 25963-2024")</f>
        <v/>
      </c>
    </row>
    <row r="229" ht="15" customHeight="1">
      <c r="A229" t="inlineStr">
        <is>
          <t>A 21812-2023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46282</v>
      </c>
      <c r="F229" t="inlineStr">
        <is>
          <t>JÖNKÖPINGS LÄN</t>
        </is>
      </c>
      <c r="G229" t="inlineStr">
        <is>
          <t>ANEBY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46282</v>
      </c>
      <c r="F230" t="inlineStr">
        <is>
          <t>JÖNKÖPINGS LÄN</t>
        </is>
      </c>
      <c r="G230" t="inlineStr">
        <is>
          <t>ANEBY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45033</v>
      </c>
      <c r="E231" s="1" t="n">
        <v>46282</v>
      </c>
      <c r="F231" t="inlineStr">
        <is>
          <t>JÖNKÖPINGS LÄN</t>
        </is>
      </c>
      <c r="G231" t="inlineStr">
        <is>
          <t>ANEBY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46282</v>
      </c>
      <c r="F232" t="inlineStr">
        <is>
          <t>JÖNKÖPINGS LÄN</t>
        </is>
      </c>
      <c r="G232" t="inlineStr">
        <is>
          <t>ANEBY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46282</v>
      </c>
      <c r="F233" t="inlineStr">
        <is>
          <t>JÖNKÖPINGS LÄN</t>
        </is>
      </c>
      <c r="G233" t="inlineStr">
        <is>
          <t>ANEBY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46282</v>
      </c>
      <c r="F234" t="inlineStr">
        <is>
          <t>JÖNKÖPINGS LÄN</t>
        </is>
      </c>
      <c r="G234" t="inlineStr">
        <is>
          <t>ANEBY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46282</v>
      </c>
      <c r="F235" t="inlineStr">
        <is>
          <t>JÖNKÖPINGS LÄN</t>
        </is>
      </c>
      <c r="G235" t="inlineStr">
        <is>
          <t>ANEBY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45610</v>
      </c>
      <c r="E236" s="1" t="n">
        <v>46282</v>
      </c>
      <c r="F236" t="inlineStr">
        <is>
          <t>JÖNKÖPINGS LÄN</t>
        </is>
      </c>
      <c r="G236" t="inlineStr">
        <is>
          <t>ANEBY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44721</v>
      </c>
      <c r="E237" s="1" t="n">
        <v>46282</v>
      </c>
      <c r="F237" t="inlineStr">
        <is>
          <t>JÖNKÖPINGS LÄN</t>
        </is>
      </c>
      <c r="G237" t="inlineStr">
        <is>
          <t>ANEBY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54213-2024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45616</v>
      </c>
      <c r="E238" s="1" t="n">
        <v>46282</v>
      </c>
      <c r="F238" t="inlineStr">
        <is>
          <t>JÖNKÖPINGS LÄN</t>
        </is>
      </c>
      <c r="G238" t="inlineStr">
        <is>
          <t>ANEBY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21356-2026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46147</v>
      </c>
      <c r="E239" s="1" t="n">
        <v>46282</v>
      </c>
      <c r="F239" t="inlineStr">
        <is>
          <t>JÖNKÖPINGS LÄN</t>
        </is>
      </c>
      <c r="G239" t="inlineStr">
        <is>
          <t>ANEBY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45772</v>
      </c>
      <c r="E240" s="1" t="n">
        <v>46282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45316</v>
      </c>
      <c r="E241" s="1" t="n">
        <v>46282</v>
      </c>
      <c r="F241" t="inlineStr">
        <is>
          <t>JÖNKÖPINGS LÄN</t>
        </is>
      </c>
      <c r="G241" t="inlineStr">
        <is>
          <t>ANEBY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46282</v>
      </c>
      <c r="F242" t="inlineStr">
        <is>
          <t>JÖNKÖPINGS LÄN</t>
        </is>
      </c>
      <c r="G242" t="inlineStr">
        <is>
          <t>ANEBY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43613-2023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45184</v>
      </c>
      <c r="E243" s="1" t="n">
        <v>46282</v>
      </c>
      <c r="F243" t="inlineStr">
        <is>
          <t>JÖNKÖPINGS LÄN</t>
        </is>
      </c>
      <c r="G243" t="inlineStr">
        <is>
          <t>ANEBY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12477-2023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44999</v>
      </c>
      <c r="E244" s="1" t="n">
        <v>46282</v>
      </c>
      <c r="F244" t="inlineStr">
        <is>
          <t>JÖNKÖPINGS LÄN</t>
        </is>
      </c>
      <c r="G244" t="inlineStr">
        <is>
          <t>ANEBY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46282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46282</v>
      </c>
      <c r="F246" t="inlineStr">
        <is>
          <t>JÖNKÖPINGS LÄN</t>
        </is>
      </c>
      <c r="G246" t="inlineStr">
        <is>
          <t>ANEBY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44957</v>
      </c>
      <c r="E247" s="1" t="n">
        <v>46282</v>
      </c>
      <c r="F247" t="inlineStr">
        <is>
          <t>JÖNKÖPINGS LÄN</t>
        </is>
      </c>
      <c r="G247" t="inlineStr">
        <is>
          <t>ANEBY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46282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46282</v>
      </c>
      <c r="F249" t="inlineStr">
        <is>
          <t>JÖNKÖPINGS LÄN</t>
        </is>
      </c>
      <c r="G249" t="inlineStr">
        <is>
          <t>ANEBY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46282</v>
      </c>
      <c r="F250" t="inlineStr">
        <is>
          <t>JÖNKÖPINGS LÄN</t>
        </is>
      </c>
      <c r="G250" t="inlineStr">
        <is>
          <t>ANEBY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46282</v>
      </c>
      <c r="F251" t="inlineStr">
        <is>
          <t>JÖNKÖPINGS LÄN</t>
        </is>
      </c>
      <c r="G251" t="inlineStr">
        <is>
          <t>ANEBY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45304</v>
      </c>
      <c r="E252" s="1" t="n">
        <v>46282</v>
      </c>
      <c r="F252" t="inlineStr">
        <is>
          <t>JÖNKÖPINGS LÄN</t>
        </is>
      </c>
      <c r="G252" t="inlineStr">
        <is>
          <t>ANEBY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44578</v>
      </c>
      <c r="E253" s="1" t="n">
        <v>46282</v>
      </c>
      <c r="F253" t="inlineStr">
        <is>
          <t>JÖNKÖPINGS LÄN</t>
        </is>
      </c>
      <c r="G253" t="inlineStr">
        <is>
          <t>ANEBY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45468</v>
      </c>
      <c r="E254" s="1" t="n">
        <v>46282</v>
      </c>
      <c r="F254" t="inlineStr">
        <is>
          <t>JÖNKÖPINGS LÄN</t>
        </is>
      </c>
      <c r="G254" t="inlineStr">
        <is>
          <t>ANEBY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46282</v>
      </c>
      <c r="F255" t="inlineStr">
        <is>
          <t>JÖNKÖPINGS LÄN</t>
        </is>
      </c>
      <c r="G255" t="inlineStr">
        <is>
          <t>ANEBY</t>
        </is>
      </c>
      <c r="H255" t="inlineStr">
        <is>
          <t>Sveaskog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46282</v>
      </c>
      <c r="F256" t="inlineStr">
        <is>
          <t>JÖNKÖPINGS LÄN</t>
        </is>
      </c>
      <c r="G256" t="inlineStr">
        <is>
          <t>ANEBY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46282</v>
      </c>
      <c r="F257" t="inlineStr">
        <is>
          <t>JÖNKÖPINGS LÄN</t>
        </is>
      </c>
      <c r="G257" t="inlineStr">
        <is>
          <t>ANEBY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45593</v>
      </c>
      <c r="E258" s="1" t="n">
        <v>46282</v>
      </c>
      <c r="F258" t="inlineStr">
        <is>
          <t>JÖNKÖPINGS LÄN</t>
        </is>
      </c>
      <c r="G258" t="inlineStr">
        <is>
          <t>ANEBY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56333-2022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44890</v>
      </c>
      <c r="E259" s="1" t="n">
        <v>46282</v>
      </c>
      <c r="F259" t="inlineStr">
        <is>
          <t>JÖNKÖPINGS LÄN</t>
        </is>
      </c>
      <c r="G259" t="inlineStr">
        <is>
          <t>ANEBY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46282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10155-2024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45364</v>
      </c>
      <c r="E261" s="1" t="n">
        <v>46282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46282</v>
      </c>
      <c r="F262" t="inlineStr">
        <is>
          <t>JÖNKÖPINGS LÄN</t>
        </is>
      </c>
      <c r="G262" t="inlineStr">
        <is>
          <t>ANEBY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45393</v>
      </c>
      <c r="E263" s="1" t="n">
        <v>46282</v>
      </c>
      <c r="F263" t="inlineStr">
        <is>
          <t>JÖNKÖPINGS LÄN</t>
        </is>
      </c>
      <c r="G263" t="inlineStr">
        <is>
          <t>ANEBY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46176</v>
      </c>
      <c r="E264" s="1" t="n">
        <v>46282</v>
      </c>
      <c r="F264" t="inlineStr">
        <is>
          <t>JÖNKÖPINGS LÄN</t>
        </is>
      </c>
      <c r="G264" t="inlineStr">
        <is>
          <t>ANEBY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46282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46282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44851</v>
      </c>
      <c r="E267" s="1" t="n">
        <v>46282</v>
      </c>
      <c r="F267" t="inlineStr">
        <is>
          <t>JÖNKÖPINGS LÄN</t>
        </is>
      </c>
      <c r="G267" t="inlineStr">
        <is>
          <t>ANEBY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46282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9917-2022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44620</v>
      </c>
      <c r="E269" s="1" t="n">
        <v>46282</v>
      </c>
      <c r="F269" t="inlineStr">
        <is>
          <t>JÖNKÖPINGS LÄN</t>
        </is>
      </c>
      <c r="G269" t="inlineStr">
        <is>
          <t>ANEBY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10456-2023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44981</v>
      </c>
      <c r="E270" s="1" t="n">
        <v>46282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45379</v>
      </c>
      <c r="E271" s="1" t="n">
        <v>46282</v>
      </c>
      <c r="F271" t="inlineStr">
        <is>
          <t>JÖNKÖPINGS LÄN</t>
        </is>
      </c>
      <c r="G271" t="inlineStr">
        <is>
          <t>ANEBY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46185</v>
      </c>
      <c r="E272" s="1" t="n">
        <v>46282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46185</v>
      </c>
      <c r="E273" s="1" t="n">
        <v>46282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45126</v>
      </c>
      <c r="E274" s="1" t="n">
        <v>46282</v>
      </c>
      <c r="F274" t="inlineStr">
        <is>
          <t>JÖNKÖPINGS LÄN</t>
        </is>
      </c>
      <c r="G274" t="inlineStr">
        <is>
          <t>ANEBY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46185</v>
      </c>
      <c r="E275" s="1" t="n">
        <v>46282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51185-2021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44461</v>
      </c>
      <c r="E276" s="1" t="n">
        <v>46282</v>
      </c>
      <c r="F276" t="inlineStr">
        <is>
          <t>JÖNKÖPINGS LÄN</t>
        </is>
      </c>
      <c r="G276" t="inlineStr">
        <is>
          <t>ANEBY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46282</v>
      </c>
      <c r="F277" t="inlineStr">
        <is>
          <t>JÖNKÖPINGS LÄN</t>
        </is>
      </c>
      <c r="G277" t="inlineStr">
        <is>
          <t>ANEBY</t>
        </is>
      </c>
      <c r="I277" t="n">
        <v>17.9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46282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27136-2026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46282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44671</v>
      </c>
      <c r="E280" s="1" t="n">
        <v>46282</v>
      </c>
      <c r="F280" t="inlineStr">
        <is>
          <t>JÖNKÖPINGS LÄN</t>
        </is>
      </c>
      <c r="G280" t="inlineStr">
        <is>
          <t>ANEBY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45356</v>
      </c>
      <c r="E281" s="1" t="n">
        <v>46282</v>
      </c>
      <c r="F281" t="inlineStr">
        <is>
          <t>JÖNKÖPINGS LÄN</t>
        </is>
      </c>
      <c r="G281" t="inlineStr">
        <is>
          <t>ANEBY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46282</v>
      </c>
      <c r="F282" t="inlineStr">
        <is>
          <t>JÖNKÖPINGS LÄN</t>
        </is>
      </c>
      <c r="G282" t="inlineStr">
        <is>
          <t>ANEBY</t>
        </is>
      </c>
      <c r="H282" t="inlineStr">
        <is>
          <t>Kyrkan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46282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46282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46282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46282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46282</v>
      </c>
      <c r="F287" t="inlineStr">
        <is>
          <t>JÖNKÖPINGS LÄN</t>
        </is>
      </c>
      <c r="G287" t="inlineStr">
        <is>
          <t>ANEBY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46282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44959</v>
      </c>
      <c r="E289" s="1" t="n">
        <v>46282</v>
      </c>
      <c r="F289" t="inlineStr">
        <is>
          <t>JÖNKÖPINGS LÄN</t>
        </is>
      </c>
      <c r="G289" t="inlineStr">
        <is>
          <t>ANEBY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45034</v>
      </c>
      <c r="E290" s="1" t="n">
        <v>46282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46282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67414-2021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44524</v>
      </c>
      <c r="E292" s="1" t="n">
        <v>46282</v>
      </c>
      <c r="F292" t="inlineStr">
        <is>
          <t>JÖNKÖPINGS LÄN</t>
        </is>
      </c>
      <c r="G292" t="inlineStr">
        <is>
          <t>ANEBY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45033</v>
      </c>
      <c r="E293" s="1" t="n">
        <v>46282</v>
      </c>
      <c r="F293" t="inlineStr">
        <is>
          <t>JÖNKÖPINGS LÄN</t>
        </is>
      </c>
      <c r="G293" t="inlineStr">
        <is>
          <t>ANEBY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14235-2023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45009</v>
      </c>
      <c r="E294" s="1" t="n">
        <v>46282</v>
      </c>
      <c r="F294" t="inlineStr">
        <is>
          <t>JÖNKÖPINGS LÄN</t>
        </is>
      </c>
      <c r="G294" t="inlineStr">
        <is>
          <t>ANEBY</t>
        </is>
      </c>
      <c r="I294" t="n">
        <v>13.8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59507-2022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44900</v>
      </c>
      <c r="E295" s="1" t="n">
        <v>46282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45076</v>
      </c>
      <c r="E296" s="1" t="n">
        <v>46282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46282</v>
      </c>
      <c r="F297" t="inlineStr">
        <is>
          <t>JÖNKÖPINGS LÄN</t>
        </is>
      </c>
      <c r="G297" t="inlineStr">
        <is>
          <t>ANEBY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37343-2023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45156</v>
      </c>
      <c r="E298" s="1" t="n">
        <v>46282</v>
      </c>
      <c r="F298" t="inlineStr">
        <is>
          <t>JÖNKÖPINGS LÄN</t>
        </is>
      </c>
      <c r="G298" t="inlineStr">
        <is>
          <t>ANEBY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45363</v>
      </c>
      <c r="E299" s="1" t="n">
        <v>46282</v>
      </c>
      <c r="F299" t="inlineStr">
        <is>
          <t>JÖNKÖPINGS LÄN</t>
        </is>
      </c>
      <c r="G299" t="inlineStr">
        <is>
          <t>ANEBY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45077</v>
      </c>
      <c r="E300" s="1" t="n">
        <v>46282</v>
      </c>
      <c r="F300" t="inlineStr">
        <is>
          <t>JÖNKÖPINGS LÄN</t>
        </is>
      </c>
      <c r="G300" t="inlineStr">
        <is>
          <t>ANEBY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46282</v>
      </c>
      <c r="F301" t="inlineStr">
        <is>
          <t>JÖNKÖPINGS LÄN</t>
        </is>
      </c>
      <c r="G301" t="inlineStr">
        <is>
          <t>ANEBY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46282</v>
      </c>
      <c r="F302" t="inlineStr">
        <is>
          <t>JÖNKÖPINGS LÄN</t>
        </is>
      </c>
      <c r="G302" t="inlineStr">
        <is>
          <t>ANEBY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46282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46282</v>
      </c>
      <c r="F304" t="inlineStr">
        <is>
          <t>JÖNKÖPINGS LÄN</t>
        </is>
      </c>
      <c r="G304" t="inlineStr">
        <is>
          <t>ANEBY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46254</v>
      </c>
      <c r="E305" s="1" t="n">
        <v>46282</v>
      </c>
      <c r="F305" t="inlineStr">
        <is>
          <t>JÖNKÖPINGS LÄN</t>
        </is>
      </c>
      <c r="G305" t="inlineStr">
        <is>
          <t>ANEBY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46214</v>
      </c>
      <c r="E306" s="1" t="n">
        <v>46282</v>
      </c>
      <c r="F306" t="inlineStr">
        <is>
          <t>JÖNKÖPINGS LÄN</t>
        </is>
      </c>
      <c r="G306" t="inlineStr">
        <is>
          <t>ANEBY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46214</v>
      </c>
      <c r="E307" s="1" t="n">
        <v>46282</v>
      </c>
      <c r="F307" t="inlineStr">
        <is>
          <t>JÖNKÖPINGS LÄN</t>
        </is>
      </c>
      <c r="G307" t="inlineStr">
        <is>
          <t>ANEBY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46214</v>
      </c>
      <c r="E308" s="1" t="n">
        <v>46282</v>
      </c>
      <c r="F308" t="inlineStr">
        <is>
          <t>JÖNKÖPINGS LÄN</t>
        </is>
      </c>
      <c r="G308" t="inlineStr">
        <is>
          <t>ANEBY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46282</v>
      </c>
      <c r="F309" t="inlineStr">
        <is>
          <t>JÖNKÖPINGS LÄN</t>
        </is>
      </c>
      <c r="G309" t="inlineStr">
        <is>
          <t>ANEBY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34850-2026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46255</v>
      </c>
      <c r="E310" s="1" t="n">
        <v>46282</v>
      </c>
      <c r="F310" t="inlineStr">
        <is>
          <t>JÖNKÖPINGS LÄN</t>
        </is>
      </c>
      <c r="G310" t="inlineStr">
        <is>
          <t>ANEBY</t>
        </is>
      </c>
      <c r="H310" t="inlineStr">
        <is>
          <t>Övriga Aktiebolag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16679-2024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45408</v>
      </c>
      <c r="E311" s="1" t="n">
        <v>46282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45016</v>
      </c>
      <c r="E312" s="1" t="n">
        <v>46282</v>
      </c>
      <c r="F312" t="inlineStr">
        <is>
          <t>JÖNKÖPINGS LÄN</t>
        </is>
      </c>
      <c r="G312" t="inlineStr">
        <is>
          <t>ANEBY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47325-2024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45586</v>
      </c>
      <c r="E313" s="1" t="n">
        <v>46282</v>
      </c>
      <c r="F313" t="inlineStr">
        <is>
          <t>JÖNKÖPINGS LÄN</t>
        </is>
      </c>
      <c r="G313" t="inlineStr">
        <is>
          <t>ANEBY</t>
        </is>
      </c>
      <c r="H313" t="inlineStr">
        <is>
          <t>Övriga Aktiebolag</t>
        </is>
      </c>
      <c r="I313" t="n">
        <v>18.6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46282</v>
      </c>
      <c r="F314" t="inlineStr">
        <is>
          <t>JÖNKÖPINGS LÄN</t>
        </is>
      </c>
      <c r="G314" t="inlineStr">
        <is>
          <t>ANEBY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46282</v>
      </c>
      <c r="F315" t="inlineStr">
        <is>
          <t>JÖNKÖPINGS LÄN</t>
        </is>
      </c>
      <c r="G315" t="inlineStr">
        <is>
          <t>ANEBY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46282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46282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46282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46282</v>
      </c>
      <c r="F319" t="inlineStr">
        <is>
          <t>JÖNKÖPINGS LÄN</t>
        </is>
      </c>
      <c r="G319" t="inlineStr">
        <is>
          <t>ANEBY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46265</v>
      </c>
      <c r="E320" s="1" t="n">
        <v>46282</v>
      </c>
      <c r="F320" t="inlineStr">
        <is>
          <t>JÖNKÖPINGS LÄN</t>
        </is>
      </c>
      <c r="G320" t="inlineStr">
        <is>
          <t>ANEBY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46282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44957</v>
      </c>
      <c r="E322" s="1" t="n">
        <v>46282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46282</v>
      </c>
      <c r="F323" t="inlineStr">
        <is>
          <t>JÖNKÖPINGS LÄN</t>
        </is>
      </c>
      <c r="G323" t="inlineStr">
        <is>
          <t>ANEBY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44700</v>
      </c>
      <c r="E324" s="1" t="n">
        <v>46282</v>
      </c>
      <c r="F324" t="inlineStr">
        <is>
          <t>JÖNKÖPINGS LÄN</t>
        </is>
      </c>
      <c r="G324" t="inlineStr">
        <is>
          <t>ANEBY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46282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46282</v>
      </c>
      <c r="F326" t="inlineStr">
        <is>
          <t>JÖNKÖPINGS LÄN</t>
        </is>
      </c>
      <c r="G326" t="inlineStr">
        <is>
          <t>ANEBY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45357</v>
      </c>
      <c r="E327" s="1" t="n">
        <v>46282</v>
      </c>
      <c r="F327" t="inlineStr">
        <is>
          <t>JÖNKÖPINGS LÄN</t>
        </is>
      </c>
      <c r="G327" t="inlineStr">
        <is>
          <t>ANEBY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45357</v>
      </c>
      <c r="E328" s="1" t="n">
        <v>46282</v>
      </c>
      <c r="F328" t="inlineStr">
        <is>
          <t>JÖNKÖPINGS LÄN</t>
        </is>
      </c>
      <c r="G328" t="inlineStr">
        <is>
          <t>ANEBY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46224</v>
      </c>
      <c r="E329" s="1" t="n">
        <v>46282</v>
      </c>
      <c r="F329" t="inlineStr">
        <is>
          <t>JÖNKÖPINGS LÄN</t>
        </is>
      </c>
      <c r="G329" t="inlineStr">
        <is>
          <t>ANEBY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51160-2021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44461</v>
      </c>
      <c r="E330" s="1" t="n">
        <v>46282</v>
      </c>
      <c r="F330" t="inlineStr">
        <is>
          <t>JÖNKÖPINGS LÄN</t>
        </is>
      </c>
      <c r="G330" t="inlineStr">
        <is>
          <t>ANEBY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45089</v>
      </c>
      <c r="E331" s="1" t="n">
        <v>46282</v>
      </c>
      <c r="F331" t="inlineStr">
        <is>
          <t>JÖNKÖPINGS LÄN</t>
        </is>
      </c>
      <c r="G331" t="inlineStr">
        <is>
          <t>ANEBY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46282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46273</v>
      </c>
      <c r="E333" s="1" t="n">
        <v>46282</v>
      </c>
      <c r="F333" t="inlineStr">
        <is>
          <t>JÖNKÖPINGS LÄN</t>
        </is>
      </c>
      <c r="G333" t="inlineStr">
        <is>
          <t>ANEBY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44461</v>
      </c>
      <c r="E334" s="1" t="n">
        <v>46282</v>
      </c>
      <c r="F334" t="inlineStr">
        <is>
          <t>JÖNKÖPINGS LÄN</t>
        </is>
      </c>
      <c r="G334" t="inlineStr">
        <is>
          <t>ANEBY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46282</v>
      </c>
      <c r="F335" t="inlineStr">
        <is>
          <t>JÖNKÖPINGS LÄN</t>
        </is>
      </c>
      <c r="G335" t="inlineStr">
        <is>
          <t>ANEBY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46282</v>
      </c>
      <c r="F336" t="inlineStr">
        <is>
          <t>JÖNKÖPINGS LÄN</t>
        </is>
      </c>
      <c r="G336" t="inlineStr">
        <is>
          <t>ANEBY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50069-2024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45600</v>
      </c>
      <c r="E337" s="1" t="n">
        <v>46282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45161</v>
      </c>
      <c r="E338" s="1" t="n">
        <v>46282</v>
      </c>
      <c r="F338" t="inlineStr">
        <is>
          <t>JÖNKÖPINGS LÄN</t>
        </is>
      </c>
      <c r="G338" t="inlineStr">
        <is>
          <t>ANEBY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46282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46282</v>
      </c>
      <c r="F340" t="inlineStr">
        <is>
          <t>JÖNKÖPINGS LÄN</t>
        </is>
      </c>
      <c r="G340" t="inlineStr">
        <is>
          <t>ANEBY</t>
        </is>
      </c>
      <c r="H340" t="inlineStr">
        <is>
          <t>Kyrkan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46282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46282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46282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46282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46282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46282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46282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46282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46282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46282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46282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46282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46282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46282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46282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46282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46282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46282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46282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46282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2026-09-17T01:59:22Z</dcterms:created>
  <dcterms:modified xmlns:dcterms="http://purl.org/dc/terms/" xmlns:xsi="http://www.w3.org/2001/XMLSchema-instance" xsi:type="dcterms:W3CDTF">2026-09-17T01:59:23Z</dcterms:modified>
</cp:coreProperties>
</file>