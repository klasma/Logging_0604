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46319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46319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46319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46319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46319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46319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46319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46319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46319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46319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46319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46319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46319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46319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46319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46319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46319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46319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230-2024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45293</v>
      </c>
      <c r="E24" s="1" t="n">
        <v>46319</v>
      </c>
      <c r="F24" t="inlineStr">
        <is>
          <t>JÖNKÖPINGS LÄN</t>
        </is>
      </c>
      <c r="G24" t="inlineStr">
        <is>
          <t>ANEBY</t>
        </is>
      </c>
      <c r="I24" t="n">
        <v>1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Kötticka
Spillkråka
Revlummer</t>
        </is>
      </c>
      <c r="W24">
        <f>HYPERLINK("https://klasma.github.io/Logging_0604/artfynd/A 230-2024 artfynd.xlsx", "A 230-2024")</f>
        <v/>
      </c>
      <c r="X24">
        <f>HYPERLINK("https://klasma.github.io/Logging_0604/kartor/A 230-2024 karta.png", "A 230-2024")</f>
        <v/>
      </c>
      <c r="Y24">
        <f>HYPERLINK("https://klasma.github.io/Logging_0604/kartor_geotiff/A 230-2024 georefererad karta.tif", "A 230-2024")</f>
        <v/>
      </c>
      <c r="AA24">
        <f>HYPERLINK("https://klasma.github.io/Logging_0604/klagomål/A 230-2024 FSC-klagomål.docx", "A 230-2024")</f>
        <v/>
      </c>
      <c r="AB24">
        <f>HYPERLINK("https://klasma.github.io/Logging_0604/klagomålsmail/A 230-2024 FSC-klagomål mail.docx", "A 230-2024")</f>
        <v/>
      </c>
      <c r="AC24">
        <f>HYPERLINK("https://klasma.github.io/Logging_0604/tillsyn/A 230-2024 tillsynsbegäran.docx", "A 230-2024")</f>
        <v/>
      </c>
      <c r="AD24">
        <f>HYPERLINK("https://klasma.github.io/Logging_0604/tillsynsmail/A 230-2024 tillsynsbegäran mail.docx", "A 230-2024")</f>
        <v/>
      </c>
      <c r="AE24">
        <f>HYPERLINK("https://klasma.github.io/Logging_0604/fåglar/A 230-2024 prioriterade fågelarter.docx", "A 230-2024")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46319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46319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46319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49437-2023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45205</v>
      </c>
      <c r="E28" s="1" t="n">
        <v>46319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Gullpudra
Kungsfågel</t>
        </is>
      </c>
      <c r="W28">
        <f>HYPERLINK("https://klasma.github.io/Logging_0604/artfynd/A 49437-2023 artfynd.xlsx", "A 49437-2023")</f>
        <v/>
      </c>
      <c r="X28">
        <f>HYPERLINK("https://klasma.github.io/Logging_0604/kartor/A 49437-2023 karta.png", "A 49437-2023")</f>
        <v/>
      </c>
      <c r="Y28">
        <f>HYPERLINK("https://klasma.github.io/Logging_0604/kartor_geotiff/A 49437-2023 georefererad karta.tif", "A 49437-2023")</f>
        <v/>
      </c>
      <c r="AA28">
        <f>HYPERLINK("https://klasma.github.io/Logging_0604/klagomål/A 49437-2023 FSC-klagomål.docx", "A 49437-2023")</f>
        <v/>
      </c>
      <c r="AB28">
        <f>HYPERLINK("https://klasma.github.io/Logging_0604/klagomålsmail/A 49437-2023 FSC-klagomål mail.docx", "A 49437-2023")</f>
        <v/>
      </c>
      <c r="AC28">
        <f>HYPERLINK("https://klasma.github.io/Logging_0604/tillsyn/A 49437-2023 tillsynsbegäran.docx", "A 49437-2023")</f>
        <v/>
      </c>
      <c r="AD28">
        <f>HYPERLINK("https://klasma.github.io/Logging_0604/tillsynsmail/A 49437-2023 tillsynsbegäran mail.docx", "A 49437-2023")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46319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46319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46319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25891-2026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46319</v>
      </c>
      <c r="F32" t="inlineStr">
        <is>
          <t>JÖNKÖPINGS LÄN</t>
        </is>
      </c>
      <c r="G32" t="inlineStr">
        <is>
          <t>ANEBY</t>
        </is>
      </c>
      <c r="I32" t="n">
        <v>5.6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Stor ängsmaskros</t>
        </is>
      </c>
      <c r="W32">
        <f>HYPERLINK("https://klasma.github.io/Logging_0604/artfynd/A 25891-2026 artfynd.xlsx", "A 25891-2026")</f>
        <v/>
      </c>
      <c r="X32">
        <f>HYPERLINK("https://klasma.github.io/Logging_0604/kartor/A 25891-2026 karta.png", "A 25891-2026")</f>
        <v/>
      </c>
      <c r="Y32">
        <f>HYPERLINK("https://klasma.github.io/Logging_0604/kartor_geotiff/A 25891-2026 georefererad karta.tif", "A 25891-2026")</f>
        <v/>
      </c>
      <c r="AA32">
        <f>HYPERLINK("https://klasma.github.io/Logging_0604/klagomål/A 25891-2026 FSC-klagomål.docx", "A 25891-2026")</f>
        <v/>
      </c>
      <c r="AB32">
        <f>HYPERLINK("https://klasma.github.io/Logging_0604/klagomålsmail/A 25891-2026 FSC-klagomål mail.docx", "A 25891-2026")</f>
        <v/>
      </c>
      <c r="AC32">
        <f>HYPERLINK("https://klasma.github.io/Logging_0604/tillsyn/A 25891-2026 tillsynsbegäran.docx", "A 25891-2026")</f>
        <v/>
      </c>
      <c r="AD32">
        <f>HYPERLINK("https://klasma.github.io/Logging_0604/tillsynsmail/A 25891-2026 tillsynsbegäran mail.docx", "A 25891-2026")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46319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10010-2023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44985</v>
      </c>
      <c r="E34" s="1" t="n">
        <v>46319</v>
      </c>
      <c r="F34" t="inlineStr">
        <is>
          <t>JÖNKÖPINGS LÄN</t>
        </is>
      </c>
      <c r="G34" t="inlineStr">
        <is>
          <t>ANEBY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HYPERLINK("https://klasma.github.io/Logging_0604/artfynd/A 10010-2023 artfynd.xlsx", "A 10010-2023")</f>
        <v/>
      </c>
      <c r="X34">
        <f>HYPERLINK("https://klasma.github.io/Logging_0604/kartor/A 10010-2023 karta.png", "A 10010-2023")</f>
        <v/>
      </c>
      <c r="Y34">
        <f>HYPERLINK("https://klasma.github.io/Logging_0604/kartor_geotiff/A 10010-2023 georefererad karta.tif", "A 10010-2023")</f>
        <v/>
      </c>
      <c r="AA34">
        <f>HYPERLINK("https://klasma.github.io/Logging_0604/klagomål/A 10010-2023 FSC-klagomål.docx", "A 10010-2023")</f>
        <v/>
      </c>
      <c r="AB34">
        <f>HYPERLINK("https://klasma.github.io/Logging_0604/klagomålsmail/A 10010-2023 FSC-klagomål mail.docx", "A 10010-2023")</f>
        <v/>
      </c>
      <c r="AC34">
        <f>HYPERLINK("https://klasma.github.io/Logging_0604/tillsyn/A 10010-2023 tillsynsbegäran.docx", "A 10010-2023")</f>
        <v/>
      </c>
      <c r="AD34">
        <f>HYPERLINK("https://klasma.github.io/Logging_0604/tillsynsmail/A 10010-2023 tillsynsbegäran mail.docx", "A 10010-2023")</f>
        <v/>
      </c>
    </row>
    <row r="35" ht="15" customHeight="1">
      <c r="A35" t="inlineStr">
        <is>
          <t>A 24863-2024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45461</v>
      </c>
      <c r="E35" s="1" t="n">
        <v>46319</v>
      </c>
      <c r="F35" t="inlineStr">
        <is>
          <t>JÖNKÖPINGS LÄN</t>
        </is>
      </c>
      <c r="G35" t="inlineStr">
        <is>
          <t>ANEBY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Järpe</t>
        </is>
      </c>
      <c r="W35">
        <f>HYPERLINK("https://klasma.github.io/Logging_0604/artfynd/A 24863-2024 artfynd.xlsx", "A 24863-2024")</f>
        <v/>
      </c>
      <c r="X35">
        <f>HYPERLINK("https://klasma.github.io/Logging_0604/kartor/A 24863-2024 karta.png", "A 24863-2024")</f>
        <v/>
      </c>
      <c r="Y35">
        <f>HYPERLINK("https://klasma.github.io/Logging_0604/kartor_geotiff/A 24863-2024 georefererad karta.tif", "A 24863-2024")</f>
        <v/>
      </c>
      <c r="AA35">
        <f>HYPERLINK("https://klasma.github.io/Logging_0604/klagomål/A 24863-2024 FSC-klagomål.docx", "A 24863-2024")</f>
        <v/>
      </c>
      <c r="AB35">
        <f>HYPERLINK("https://klasma.github.io/Logging_0604/klagomålsmail/A 24863-2024 FSC-klagomål mail.docx", "A 24863-2024")</f>
        <v/>
      </c>
      <c r="AC35">
        <f>HYPERLINK("https://klasma.github.io/Logging_0604/tillsyn/A 24863-2024 tillsynsbegäran.docx", "A 24863-2024")</f>
        <v/>
      </c>
      <c r="AD35">
        <f>HYPERLINK("https://klasma.github.io/Logging_0604/tillsynsmail/A 24863-2024 tillsynsbegäran mail.docx", "A 24863-2024")</f>
        <v/>
      </c>
      <c r="AE35">
        <f>HYPERLINK("https://klasma.github.io/Logging_0604/fåglar/A 24863-2024 prioriterade fågelarter.docx", "A 24863-2024")</f>
        <v/>
      </c>
    </row>
    <row r="36" ht="15" customHeight="1">
      <c r="A36" t="inlineStr">
        <is>
          <t>A 8117-2025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45707</v>
      </c>
      <c r="E36" s="1" t="n">
        <v>46319</v>
      </c>
      <c r="F36" t="inlineStr">
        <is>
          <t>JÖNKÖPINGS LÄN</t>
        </is>
      </c>
      <c r="G36" t="inlineStr">
        <is>
          <t>ANEBY</t>
        </is>
      </c>
      <c r="I36" t="n">
        <v>2.3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Enkelbeckasin</t>
        </is>
      </c>
      <c r="W36">
        <f>HYPERLINK("https://klasma.github.io/Logging_0604/artfynd/A 8117-2025 artfynd.xlsx", "A 8117-2025")</f>
        <v/>
      </c>
      <c r="X36">
        <f>HYPERLINK("https://klasma.github.io/Logging_0604/kartor/A 8117-2025 karta.png", "A 8117-2025")</f>
        <v/>
      </c>
      <c r="Y36">
        <f>HYPERLINK("https://klasma.github.io/Logging_0604/kartor_geotiff/A 8117-2025 georefererad karta.tif", "A 8117-2025")</f>
        <v/>
      </c>
      <c r="AA36">
        <f>HYPERLINK("https://klasma.github.io/Logging_0604/klagomål/A 8117-2025 FSC-klagomål.docx", "A 8117-2025")</f>
        <v/>
      </c>
      <c r="AB36">
        <f>HYPERLINK("https://klasma.github.io/Logging_0604/klagomålsmail/A 8117-2025 FSC-klagomål mail.docx", "A 8117-2025")</f>
        <v/>
      </c>
      <c r="AC36">
        <f>HYPERLINK("https://klasma.github.io/Logging_0604/tillsyn/A 8117-2025 tillsynsbegäran.docx", "A 8117-2025")</f>
        <v/>
      </c>
      <c r="AD36">
        <f>HYPERLINK("https://klasma.github.io/Logging_0604/tillsynsmail/A 8117-2025 tillsynsbegäran mail.docx", "A 8117-2025")</f>
        <v/>
      </c>
      <c r="AE36">
        <f>HYPERLINK("https://klasma.github.io/Logging_0604/fåglar/A 8117-2025 prioriterade fågelarter.docx", "A 8117-2025")</f>
        <v/>
      </c>
    </row>
    <row r="37" ht="15" customHeight="1">
      <c r="A37" t="inlineStr">
        <is>
          <t>A 25875-2024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45467</v>
      </c>
      <c r="E37" s="1" t="n">
        <v>46319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HYPERLINK("https://klasma.github.io/Logging_0604/artfynd/A 25875-2024 artfynd.xlsx", "A 25875-2024")</f>
        <v/>
      </c>
      <c r="X37">
        <f>HYPERLINK("https://klasma.github.io/Logging_0604/kartor/A 25875-2024 karta.png", "A 25875-2024")</f>
        <v/>
      </c>
      <c r="Y37">
        <f>HYPERLINK("https://klasma.github.io/Logging_0604/kartor_geotiff/A 25875-2024 georefererad karta.tif", "A 25875-2024")</f>
        <v/>
      </c>
      <c r="AA37">
        <f>HYPERLINK("https://klasma.github.io/Logging_0604/klagomål/A 25875-2024 FSC-klagomål.docx", "A 25875-2024")</f>
        <v/>
      </c>
      <c r="AB37">
        <f>HYPERLINK("https://klasma.github.io/Logging_0604/klagomålsmail/A 25875-2024 FSC-klagomål mail.docx", "A 25875-2024")</f>
        <v/>
      </c>
      <c r="AC37">
        <f>HYPERLINK("https://klasma.github.io/Logging_0604/tillsyn/A 25875-2024 tillsynsbegäran.docx", "A 25875-2024")</f>
        <v/>
      </c>
      <c r="AD37">
        <f>HYPERLINK("https://klasma.github.io/Logging_0604/tillsynsmail/A 25875-2024 tillsynsbegäran mail.docx", "A 25875-2024")</f>
        <v/>
      </c>
    </row>
    <row r="38" ht="15" customHeight="1">
      <c r="A38" t="inlineStr">
        <is>
          <t>A 40897-2024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46319</v>
      </c>
      <c r="F38" t="inlineStr">
        <is>
          <t>JÖNKÖPINGS LÄN</t>
        </is>
      </c>
      <c r="G38" t="inlineStr">
        <is>
          <t>ANEBY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Fläckmaskros</t>
        </is>
      </c>
      <c r="W38">
        <f>HYPERLINK("https://klasma.github.io/Logging_0604/artfynd/A 40897-2024 artfynd.xlsx", "A 40897-2024")</f>
        <v/>
      </c>
      <c r="X38">
        <f>HYPERLINK("https://klasma.github.io/Logging_0604/kartor/A 40897-2024 karta.png", "A 40897-2024")</f>
        <v/>
      </c>
      <c r="Y38">
        <f>HYPERLINK("https://klasma.github.io/Logging_0604/kartor_geotiff/A 40897-2024 georefererad karta.tif", "A 40897-2024")</f>
        <v/>
      </c>
      <c r="AA38">
        <f>HYPERLINK("https://klasma.github.io/Logging_0604/klagomål/A 40897-2024 FSC-klagomål.docx", "A 40897-2024")</f>
        <v/>
      </c>
      <c r="AB38">
        <f>HYPERLINK("https://klasma.github.io/Logging_0604/klagomålsmail/A 40897-2024 FSC-klagomål mail.docx", "A 40897-2024")</f>
        <v/>
      </c>
      <c r="AC38">
        <f>HYPERLINK("https://klasma.github.io/Logging_0604/tillsyn/A 40897-2024 tillsynsbegäran.docx", "A 40897-2024")</f>
        <v/>
      </c>
      <c r="AD38">
        <f>HYPERLINK("https://klasma.github.io/Logging_0604/tillsynsmail/A 40897-2024 tillsynsbegäran mail.docx", "A 40897-2024")</f>
        <v/>
      </c>
    </row>
    <row r="39" ht="15" customHeight="1">
      <c r="A39" t="inlineStr">
        <is>
          <t>A 36378-2026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46319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HYPERLINK("https://klasma.github.io/Logging_0604/artfynd/A 36378-2026 artfynd.xlsx", "A 36378-2026")</f>
        <v/>
      </c>
      <c r="X39">
        <f>HYPERLINK("https://klasma.github.io/Logging_0604/kartor/A 36378-2026 karta.png", "A 36378-2026")</f>
        <v/>
      </c>
      <c r="Y39">
        <f>HYPERLINK("https://klasma.github.io/Logging_0604/kartor_geotiff/A 36378-2026 georefererad karta.tif", "A 36378-2026")</f>
        <v/>
      </c>
      <c r="AA39">
        <f>HYPERLINK("https://klasma.github.io/Logging_0604/klagomål/A 36378-2026 FSC-klagomål.docx", "A 36378-2026")</f>
        <v/>
      </c>
      <c r="AB39">
        <f>HYPERLINK("https://klasma.github.io/Logging_0604/klagomålsmail/A 36378-2026 FSC-klagomål mail.docx", "A 36378-2026")</f>
        <v/>
      </c>
      <c r="AC39">
        <f>HYPERLINK("https://klasma.github.io/Logging_0604/tillsyn/A 36378-2026 tillsynsbegäran.docx", "A 36378-2026")</f>
        <v/>
      </c>
      <c r="AD39">
        <f>HYPERLINK("https://klasma.github.io/Logging_0604/tillsynsmail/A 36378-2026 tillsynsbegäran mail.docx", "A 36378-2026")</f>
        <v/>
      </c>
      <c r="AE39">
        <f>HYPERLINK("https://klasma.github.io/Logging_0604/fåglar/A 36378-2026 prioriterade fågelarter.docx", "A 36378-2026")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46319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46319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28452-2022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46319</v>
      </c>
      <c r="F42" t="inlineStr">
        <is>
          <t>JÖNKÖPINGS LÄN</t>
        </is>
      </c>
      <c r="G42" t="inlineStr">
        <is>
          <t>ANEBY</t>
        </is>
      </c>
      <c r="I42" t="n">
        <v>1.2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Odontocerum albicorne</t>
        </is>
      </c>
      <c r="W42">
        <f>HYPERLINK("https://klasma.github.io/Logging_0604/artfynd/A 28452-2022 artfynd.xlsx", "A 28452-2022")</f>
        <v/>
      </c>
      <c r="X42">
        <f>HYPERLINK("https://klasma.github.io/Logging_0604/kartor/A 28452-2022 karta.png", "A 28452-2022")</f>
        <v/>
      </c>
      <c r="Y42">
        <f>HYPERLINK("https://klasma.github.io/Logging_0604/kartor_geotiff/A 28452-2022 georefererad karta.tif", "A 28452-2022")</f>
        <v/>
      </c>
      <c r="AA42">
        <f>HYPERLINK("https://klasma.github.io/Logging_0604/klagomål/A 28452-2022 FSC-klagomål.docx", "A 28452-2022")</f>
        <v/>
      </c>
      <c r="AB42">
        <f>HYPERLINK("https://klasma.github.io/Logging_0604/klagomålsmail/A 28452-2022 FSC-klagomål mail.docx", "A 28452-2022")</f>
        <v/>
      </c>
      <c r="AC42">
        <f>HYPERLINK("https://klasma.github.io/Logging_0604/tillsyn/A 28452-2022 tillsynsbegäran.docx", "A 28452-2022")</f>
        <v/>
      </c>
      <c r="AD42">
        <f>HYPERLINK("https://klasma.github.io/Logging_0604/tillsynsmail/A 28452-2022 tillsynsbegäran mail.docx", "A 28452-2022")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46319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412-2022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46319</v>
      </c>
      <c r="F44" t="inlineStr">
        <is>
          <t>JÖNKÖPINGS LÄN</t>
        </is>
      </c>
      <c r="G44" t="inlineStr">
        <is>
          <t>ANEBY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HYPERLINK("https://klasma.github.io/Logging_0604/artfynd/A 412-2022 artfynd.xlsx", "A 412-2022")</f>
        <v/>
      </c>
      <c r="X44">
        <f>HYPERLINK("https://klasma.github.io/Logging_0604/kartor/A 412-2022 karta.png", "A 412-2022")</f>
        <v/>
      </c>
      <c r="Y44">
        <f>HYPERLINK("https://klasma.github.io/Logging_0604/kartor_geotiff/A 412-2022 georefererad karta.tif", "A 412-2022")</f>
        <v/>
      </c>
      <c r="AA44">
        <f>HYPERLINK("https://klasma.github.io/Logging_0604/klagomål/A 412-2022 FSC-klagomål.docx", "A 412-2022")</f>
        <v/>
      </c>
      <c r="AB44">
        <f>HYPERLINK("https://klasma.github.io/Logging_0604/klagomålsmail/A 412-2022 FSC-klagomål mail.docx", "A 412-2022")</f>
        <v/>
      </c>
      <c r="AC44">
        <f>HYPERLINK("https://klasma.github.io/Logging_0604/tillsyn/A 412-2022 tillsynsbegäran.docx", "A 412-2022")</f>
        <v/>
      </c>
      <c r="AD44">
        <f>HYPERLINK("https://klasma.github.io/Logging_0604/tillsynsmail/A 412-2022 tillsynsbegäran mail.docx", "A 412-2022")</f>
        <v/>
      </c>
    </row>
    <row r="45" ht="15" customHeight="1">
      <c r="A45" t="inlineStr">
        <is>
          <t>A 53251-2023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46319</v>
      </c>
      <c r="F45" t="inlineStr">
        <is>
          <t>JÖNKÖPINGS LÄN</t>
        </is>
      </c>
      <c r="G45" t="inlineStr">
        <is>
          <t>ANEBY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HYPERLINK("https://klasma.github.io/Logging_0604/artfynd/A 53251-2023 artfynd.xlsx", "A 53251-2023")</f>
        <v/>
      </c>
      <c r="X45">
        <f>HYPERLINK("https://klasma.github.io/Logging_0604/kartor/A 53251-2023 karta.png", "A 53251-2023")</f>
        <v/>
      </c>
      <c r="Y45">
        <f>HYPERLINK("https://klasma.github.io/Logging_0604/kartor_geotiff/A 53251-2023 georefererad karta.tif", "A 53251-2023")</f>
        <v/>
      </c>
      <c r="AA45">
        <f>HYPERLINK("https://klasma.github.io/Logging_0604/klagomål/A 53251-2023 FSC-klagomål.docx", "A 53251-2023")</f>
        <v/>
      </c>
      <c r="AB45">
        <f>HYPERLINK("https://klasma.github.io/Logging_0604/klagomålsmail/A 53251-2023 FSC-klagomål mail.docx", "A 53251-2023")</f>
        <v/>
      </c>
      <c r="AC45">
        <f>HYPERLINK("https://klasma.github.io/Logging_0604/tillsyn/A 53251-2023 tillsynsbegäran.docx", "A 53251-2023")</f>
        <v/>
      </c>
      <c r="AD45">
        <f>HYPERLINK("https://klasma.github.io/Logging_0604/tillsynsmail/A 53251-2023 tillsynsbegäran mail.docx", "A 53251-2023")</f>
        <v/>
      </c>
    </row>
    <row r="46" ht="15" customHeight="1">
      <c r="A46" t="inlineStr">
        <is>
          <t>A 10358-2024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46319</v>
      </c>
      <c r="F46" t="inlineStr">
        <is>
          <t>JÖNKÖPINGS LÄN</t>
        </is>
      </c>
      <c r="G46" t="inlineStr">
        <is>
          <t>ANEBY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HYPERLINK("https://klasma.github.io/Logging_0604/artfynd/A 10358-2024 artfynd.xlsx", "A 10358-2024")</f>
        <v/>
      </c>
      <c r="X46">
        <f>HYPERLINK("https://klasma.github.io/Logging_0604/kartor/A 10358-2024 karta.png", "A 10358-2024")</f>
        <v/>
      </c>
      <c r="Y46">
        <f>HYPERLINK("https://klasma.github.io/Logging_0604/kartor_geotiff/A 10358-2024 georefererad karta.tif", "A 10358-2024")</f>
        <v/>
      </c>
      <c r="AA46">
        <f>HYPERLINK("https://klasma.github.io/Logging_0604/klagomål/A 10358-2024 FSC-klagomål.docx", "A 10358-2024")</f>
        <v/>
      </c>
      <c r="AB46">
        <f>HYPERLINK("https://klasma.github.io/Logging_0604/klagomålsmail/A 10358-2024 FSC-klagomål mail.docx", "A 10358-2024")</f>
        <v/>
      </c>
      <c r="AC46">
        <f>HYPERLINK("https://klasma.github.io/Logging_0604/tillsyn/A 10358-2024 tillsynsbegäran.docx", "A 10358-2024")</f>
        <v/>
      </c>
      <c r="AD46">
        <f>HYPERLINK("https://klasma.github.io/Logging_0604/tillsynsmail/A 10358-2024 tillsynsbegäran mail.docx", "A 10358-2024")</f>
        <v/>
      </c>
    </row>
    <row r="47" ht="15" customHeight="1">
      <c r="A47" t="inlineStr">
        <is>
          <t>A 26784-2022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44740</v>
      </c>
      <c r="E47" s="1" t="n">
        <v>46319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Vårstarr</t>
        </is>
      </c>
      <c r="W47">
        <f>HYPERLINK("https://klasma.github.io/Logging_0604/artfynd/A 26784-2022 artfynd.xlsx", "A 26784-2022")</f>
        <v/>
      </c>
      <c r="X47">
        <f>HYPERLINK("https://klasma.github.io/Logging_0604/kartor/A 26784-2022 karta.png", "A 26784-2022")</f>
        <v/>
      </c>
      <c r="Y47">
        <f>HYPERLINK("https://klasma.github.io/Logging_0604/kartor_geotiff/A 26784-2022 georefererad karta.tif", "A 26784-2022")</f>
        <v/>
      </c>
      <c r="AA47">
        <f>HYPERLINK("https://klasma.github.io/Logging_0604/klagomål/A 26784-2022 FSC-klagomål.docx", "A 26784-2022")</f>
        <v/>
      </c>
      <c r="AB47">
        <f>HYPERLINK("https://klasma.github.io/Logging_0604/klagomålsmail/A 26784-2022 FSC-klagomål mail.docx", "A 26784-2022")</f>
        <v/>
      </c>
      <c r="AC47">
        <f>HYPERLINK("https://klasma.github.io/Logging_0604/tillsyn/A 26784-2022 tillsynsbegäran.docx", "A 26784-2022")</f>
        <v/>
      </c>
      <c r="AD47">
        <f>HYPERLINK("https://klasma.github.io/Logging_0604/tillsynsmail/A 26784-2022 tillsynsbegäran mail.docx", "A 26784-2022")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46319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46319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46319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46319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46319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46319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46319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46319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46319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46319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46319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46319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46319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46319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46319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46319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46319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46319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46319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46319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46319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46319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46319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46319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46319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46319</v>
      </c>
      <c r="F74" t="inlineStr">
        <is>
          <t>JÖNKÖPINGS LÄN</t>
        </is>
      </c>
      <c r="G74" t="inlineStr">
        <is>
          <t>ANEBY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46319</v>
      </c>
      <c r="F75" t="inlineStr">
        <is>
          <t>JÖNKÖPINGS LÄN</t>
        </is>
      </c>
      <c r="G75" t="inlineStr">
        <is>
          <t>ANEBY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33125-2025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46319</v>
      </c>
      <c r="F76" t="inlineStr">
        <is>
          <t>JÖNKÖPINGS LÄN</t>
        </is>
      </c>
      <c r="G76" t="inlineStr">
        <is>
          <t>ANEBY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46319</v>
      </c>
      <c r="F77" t="inlineStr">
        <is>
          <t>JÖNKÖPINGS LÄN</t>
        </is>
      </c>
      <c r="G77" t="inlineStr">
        <is>
          <t>ANEBY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4836-2023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44957</v>
      </c>
      <c r="E78" s="1" t="n">
        <v>46319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46319</v>
      </c>
      <c r="F79" t="inlineStr">
        <is>
          <t>JÖNKÖPINGS LÄN</t>
        </is>
      </c>
      <c r="G79" t="inlineStr">
        <is>
          <t>ANEBY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45033</v>
      </c>
      <c r="E80" s="1" t="n">
        <v>46319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46319</v>
      </c>
      <c r="F81" t="inlineStr">
        <is>
          <t>JÖNKÖPINGS LÄN</t>
        </is>
      </c>
      <c r="G81" t="inlineStr">
        <is>
          <t>ANEBY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46319</v>
      </c>
      <c r="F82" t="inlineStr">
        <is>
          <t>JÖNKÖPINGS LÄN</t>
        </is>
      </c>
      <c r="G82" t="inlineStr">
        <is>
          <t>ANEBY</t>
        </is>
      </c>
      <c r="I82" t="n">
        <v>10.1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35773-2023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45148</v>
      </c>
      <c r="E83" s="1" t="n">
        <v>46319</v>
      </c>
      <c r="F83" t="inlineStr">
        <is>
          <t>JÖNKÖPINGS LÄN</t>
        </is>
      </c>
      <c r="G83" t="inlineStr">
        <is>
          <t>ANEBY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44888</v>
      </c>
      <c r="E84" s="1" t="n">
        <v>46319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46319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46319</v>
      </c>
      <c r="F86" t="inlineStr">
        <is>
          <t>JÖNKÖPINGS LÄN</t>
        </is>
      </c>
      <c r="G86" t="inlineStr">
        <is>
          <t>ANEBY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46319</v>
      </c>
      <c r="F87" t="inlineStr">
        <is>
          <t>JÖNKÖPINGS LÄN</t>
        </is>
      </c>
      <c r="G87" t="inlineStr">
        <is>
          <t>ANEBY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46319</v>
      </c>
      <c r="F88" t="inlineStr">
        <is>
          <t>JÖNKÖPINGS LÄN</t>
        </is>
      </c>
      <c r="G88" t="inlineStr">
        <is>
          <t>ANEBY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46319</v>
      </c>
      <c r="F89" t="inlineStr">
        <is>
          <t>JÖNKÖPINGS LÄN</t>
        </is>
      </c>
      <c r="G89" t="inlineStr">
        <is>
          <t>ANEBY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46319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46319</v>
      </c>
      <c r="F91" t="inlineStr">
        <is>
          <t>JÖNKÖPINGS LÄN</t>
        </is>
      </c>
      <c r="G91" t="inlineStr">
        <is>
          <t>ANEBY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46319</v>
      </c>
      <c r="F92" t="inlineStr">
        <is>
          <t>JÖNKÖPINGS LÄN</t>
        </is>
      </c>
      <c r="G92" t="inlineStr">
        <is>
          <t>ANEBY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46319</v>
      </c>
      <c r="F93" t="inlineStr">
        <is>
          <t>JÖNKÖPINGS LÄN</t>
        </is>
      </c>
      <c r="G93" t="inlineStr">
        <is>
          <t>ANEBY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46319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46319</v>
      </c>
      <c r="F95" t="inlineStr">
        <is>
          <t>JÖNKÖPINGS LÄN</t>
        </is>
      </c>
      <c r="G95" t="inlineStr">
        <is>
          <t>ANEBY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45300</v>
      </c>
      <c r="E96" s="1" t="n">
        <v>46319</v>
      </c>
      <c r="F96" t="inlineStr">
        <is>
          <t>JÖNKÖPINGS LÄN</t>
        </is>
      </c>
      <c r="G96" t="inlineStr">
        <is>
          <t>ANEBY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46319</v>
      </c>
      <c r="F97" t="inlineStr">
        <is>
          <t>JÖNKÖPINGS LÄN</t>
        </is>
      </c>
      <c r="G97" t="inlineStr">
        <is>
          <t>ANEBY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43528-2025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45911</v>
      </c>
      <c r="E98" s="1" t="n">
        <v>46319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46319</v>
      </c>
      <c r="F99" t="inlineStr">
        <is>
          <t>JÖNKÖPINGS LÄN</t>
        </is>
      </c>
      <c r="G99" t="inlineStr">
        <is>
          <t>ANEBY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46319</v>
      </c>
      <c r="F100" t="inlineStr">
        <is>
          <t>JÖNKÖPINGS LÄN</t>
        </is>
      </c>
      <c r="G100" t="inlineStr">
        <is>
          <t>ANEBY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46319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46319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46319</v>
      </c>
      <c r="F103" t="inlineStr">
        <is>
          <t>JÖNKÖPINGS LÄN</t>
        </is>
      </c>
      <c r="G103" t="inlineStr">
        <is>
          <t>ANEBY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49427-2023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45205</v>
      </c>
      <c r="E104" s="1" t="n">
        <v>46319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46319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46319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46319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24672-2026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46319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46176</v>
      </c>
      <c r="E109" s="1" t="n">
        <v>46319</v>
      </c>
      <c r="F109" t="inlineStr">
        <is>
          <t>JÖNKÖPINGS LÄN</t>
        </is>
      </c>
      <c r="G109" t="inlineStr">
        <is>
          <t>ANEBY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46319</v>
      </c>
      <c r="F110" t="inlineStr">
        <is>
          <t>JÖNKÖPINGS LÄN</t>
        </is>
      </c>
      <c r="G110" t="inlineStr">
        <is>
          <t>ANEBY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25894-2026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46176</v>
      </c>
      <c r="E111" s="1" t="n">
        <v>46319</v>
      </c>
      <c r="F111" t="inlineStr">
        <is>
          <t>JÖNKÖPINGS LÄN</t>
        </is>
      </c>
      <c r="G111" t="inlineStr">
        <is>
          <t>ANEBY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46319</v>
      </c>
      <c r="F112" t="inlineStr">
        <is>
          <t>JÖNKÖPINGS LÄN</t>
        </is>
      </c>
      <c r="G112" t="inlineStr">
        <is>
          <t>ANEBY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46319</v>
      </c>
      <c r="F113" t="inlineStr">
        <is>
          <t>JÖNKÖPINGS LÄN</t>
        </is>
      </c>
      <c r="G113" t="inlineStr">
        <is>
          <t>ANEBY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46319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46319</v>
      </c>
      <c r="F115" t="inlineStr">
        <is>
          <t>JÖNKÖPINGS LÄN</t>
        </is>
      </c>
      <c r="G115" t="inlineStr">
        <is>
          <t>ANEBY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46319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46319</v>
      </c>
      <c r="F117" t="inlineStr">
        <is>
          <t>JÖNKÖPINGS LÄN</t>
        </is>
      </c>
      <c r="G117" t="inlineStr">
        <is>
          <t>ANEBY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46319</v>
      </c>
      <c r="F118" t="inlineStr">
        <is>
          <t>JÖNKÖPINGS LÄN</t>
        </is>
      </c>
      <c r="G118" t="inlineStr">
        <is>
          <t>ANEBY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44981</v>
      </c>
      <c r="E119" s="1" t="n">
        <v>46319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46319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45951</v>
      </c>
      <c r="E121" s="1" t="n">
        <v>46319</v>
      </c>
      <c r="F121" t="inlineStr">
        <is>
          <t>JÖNKÖPINGS LÄN</t>
        </is>
      </c>
      <c r="G121" t="inlineStr">
        <is>
          <t>ANEBY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46319</v>
      </c>
      <c r="F122" t="inlineStr">
        <is>
          <t>JÖNKÖPINGS LÄN</t>
        </is>
      </c>
      <c r="G122" t="inlineStr">
        <is>
          <t>ANEBY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46319</v>
      </c>
      <c r="F123" t="inlineStr">
        <is>
          <t>JÖNKÖPINGS LÄN</t>
        </is>
      </c>
      <c r="G123" t="inlineStr">
        <is>
          <t>ANEBY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46319</v>
      </c>
      <c r="F124" t="inlineStr">
        <is>
          <t>JÖNKÖPINGS LÄN</t>
        </is>
      </c>
      <c r="G124" t="inlineStr">
        <is>
          <t>ANEBY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46184</v>
      </c>
      <c r="E125" s="1" t="n">
        <v>46319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46319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46319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46319</v>
      </c>
      <c r="F128" t="inlineStr">
        <is>
          <t>JÖNKÖPINGS LÄN</t>
        </is>
      </c>
      <c r="G128" t="inlineStr">
        <is>
          <t>ANEBY</t>
        </is>
      </c>
      <c r="H128" t="inlineStr">
        <is>
          <t>Övriga Aktiebolag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46319</v>
      </c>
      <c r="F129" t="inlineStr">
        <is>
          <t>JÖNKÖPINGS LÄN</t>
        </is>
      </c>
      <c r="G129" t="inlineStr">
        <is>
          <t>ANEBY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49133-2022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44860</v>
      </c>
      <c r="E130" s="1" t="n">
        <v>46319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46319</v>
      </c>
      <c r="F131" t="inlineStr">
        <is>
          <t>JÖNKÖPINGS LÄN</t>
        </is>
      </c>
      <c r="G131" t="inlineStr">
        <is>
          <t>ANEBY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46184</v>
      </c>
      <c r="E132" s="1" t="n">
        <v>46319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46319</v>
      </c>
      <c r="F133" t="inlineStr">
        <is>
          <t>JÖNKÖPINGS LÄN</t>
        </is>
      </c>
      <c r="G133" t="inlineStr">
        <is>
          <t>ANEBY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27356-2026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46319</v>
      </c>
      <c r="F134" t="inlineStr">
        <is>
          <t>JÖNKÖPINGS LÄN</t>
        </is>
      </c>
      <c r="G134" t="inlineStr">
        <is>
          <t>ANEBY</t>
        </is>
      </c>
      <c r="I134" t="n">
        <v>17.9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46319</v>
      </c>
      <c r="F135" t="inlineStr">
        <is>
          <t>JÖNKÖPINGS LÄN</t>
        </is>
      </c>
      <c r="G135" t="inlineStr">
        <is>
          <t>ANEBY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46319</v>
      </c>
      <c r="F136" t="inlineStr">
        <is>
          <t>JÖNKÖPINGS LÄN</t>
        </is>
      </c>
      <c r="G136" t="inlineStr">
        <is>
          <t>ANEBY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46319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46319</v>
      </c>
      <c r="F138" t="inlineStr">
        <is>
          <t>JÖNKÖPINGS LÄN</t>
        </is>
      </c>
      <c r="G138" t="inlineStr">
        <is>
          <t>ANEBY</t>
        </is>
      </c>
      <c r="H138" t="inlineStr">
        <is>
          <t>Kyrkan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46319</v>
      </c>
      <c r="F139" t="inlineStr">
        <is>
          <t>JÖNKÖPINGS LÄN</t>
        </is>
      </c>
      <c r="G139" t="inlineStr">
        <is>
          <t>ANEBY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46319</v>
      </c>
      <c r="F140" t="inlineStr">
        <is>
          <t>JÖNKÖPINGS LÄN</t>
        </is>
      </c>
      <c r="G140" t="inlineStr">
        <is>
          <t>ANEBY</t>
        </is>
      </c>
      <c r="H140" t="inlineStr">
        <is>
          <t>Kyrkan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46196</v>
      </c>
      <c r="E141" s="1" t="n">
        <v>46319</v>
      </c>
      <c r="F141" t="inlineStr">
        <is>
          <t>JÖNKÖPINGS LÄN</t>
        </is>
      </c>
      <c r="G141" t="inlineStr">
        <is>
          <t>ANEBY</t>
        </is>
      </c>
      <c r="H141" t="inlineStr">
        <is>
          <t>Kyrkan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16960-2023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45033</v>
      </c>
      <c r="E142" s="1" t="n">
        <v>46319</v>
      </c>
      <c r="F142" t="inlineStr">
        <is>
          <t>JÖNKÖPINGS LÄN</t>
        </is>
      </c>
      <c r="G142" t="inlineStr">
        <is>
          <t>ANEBY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46319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46319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46319</v>
      </c>
      <c r="F145" t="inlineStr">
        <is>
          <t>JÖNKÖPINGS LÄN</t>
        </is>
      </c>
      <c r="G145" t="inlineStr">
        <is>
          <t>ANEBY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46319</v>
      </c>
      <c r="F146" t="inlineStr">
        <is>
          <t>JÖNKÖPINGS LÄN</t>
        </is>
      </c>
      <c r="G146" t="inlineStr">
        <is>
          <t>ANEBY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46319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45412</v>
      </c>
      <c r="E148" s="1" t="n">
        <v>46319</v>
      </c>
      <c r="F148" t="inlineStr">
        <is>
          <t>JÖNKÖPINGS LÄN</t>
        </is>
      </c>
      <c r="G148" t="inlineStr">
        <is>
          <t>ANEBY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46319</v>
      </c>
      <c r="F149" t="inlineStr">
        <is>
          <t>JÖNKÖPINGS LÄN</t>
        </is>
      </c>
      <c r="G149" t="inlineStr">
        <is>
          <t>ANEBY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46319</v>
      </c>
      <c r="F150" t="inlineStr">
        <is>
          <t>JÖNKÖPINGS LÄN</t>
        </is>
      </c>
      <c r="G150" t="inlineStr">
        <is>
          <t>ANEBY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45009</v>
      </c>
      <c r="E151" s="1" t="n">
        <v>46319</v>
      </c>
      <c r="F151" t="inlineStr">
        <is>
          <t>JÖNKÖPINGS LÄN</t>
        </is>
      </c>
      <c r="G151" t="inlineStr">
        <is>
          <t>ANEBY</t>
        </is>
      </c>
      <c r="I151" t="n">
        <v>13.8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46319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46319</v>
      </c>
      <c r="F153" t="inlineStr">
        <is>
          <t>JÖNKÖPINGS LÄN</t>
        </is>
      </c>
      <c r="G153" t="inlineStr">
        <is>
          <t>ANEBY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46319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46319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46214</v>
      </c>
      <c r="E156" s="1" t="n">
        <v>46319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46214</v>
      </c>
      <c r="E157" s="1" t="n">
        <v>46319</v>
      </c>
      <c r="F157" t="inlineStr">
        <is>
          <t>JÖNKÖPINGS LÄN</t>
        </is>
      </c>
      <c r="G157" t="inlineStr">
        <is>
          <t>ANEBY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46214</v>
      </c>
      <c r="E158" s="1" t="n">
        <v>46319</v>
      </c>
      <c r="F158" t="inlineStr">
        <is>
          <t>JÖNKÖPINGS LÄN</t>
        </is>
      </c>
      <c r="G158" t="inlineStr">
        <is>
          <t>ANEBY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46319</v>
      </c>
      <c r="F159" t="inlineStr">
        <is>
          <t>JÖNKÖPINGS LÄN</t>
        </is>
      </c>
      <c r="G159" t="inlineStr">
        <is>
          <t>ANEBY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46319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46319</v>
      </c>
      <c r="F161" t="inlineStr">
        <is>
          <t>JÖNKÖPINGS LÄN</t>
        </is>
      </c>
      <c r="G161" t="inlineStr">
        <is>
          <t>ANEBY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46319</v>
      </c>
      <c r="F162" t="inlineStr">
        <is>
          <t>JÖNKÖPINGS LÄN</t>
        </is>
      </c>
      <c r="G162" t="inlineStr">
        <is>
          <t>ANEBY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46224</v>
      </c>
      <c r="E163" s="1" t="n">
        <v>46319</v>
      </c>
      <c r="F163" t="inlineStr">
        <is>
          <t>JÖNKÖPINGS LÄN</t>
        </is>
      </c>
      <c r="G163" t="inlineStr">
        <is>
          <t>ANEBY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46319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46319</v>
      </c>
      <c r="F165" t="inlineStr">
        <is>
          <t>JÖNKÖPINGS LÄN</t>
        </is>
      </c>
      <c r="G165" t="inlineStr">
        <is>
          <t>ANEBY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46319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44957</v>
      </c>
      <c r="E167" s="1" t="n">
        <v>46319</v>
      </c>
      <c r="F167" t="inlineStr">
        <is>
          <t>JÖNKÖPINGS LÄN</t>
        </is>
      </c>
      <c r="G167" t="inlineStr">
        <is>
          <t>ANEBY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46319</v>
      </c>
      <c r="F168" t="inlineStr">
        <is>
          <t>JÖNKÖPINGS LÄN</t>
        </is>
      </c>
      <c r="G168" t="inlineStr">
        <is>
          <t>ANEBY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46319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47125-2022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46319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45698</v>
      </c>
      <c r="E171" s="1" t="n">
        <v>46319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46319</v>
      </c>
      <c r="F172" t="inlineStr">
        <is>
          <t>JÖNKÖPINGS LÄN</t>
        </is>
      </c>
      <c r="G172" t="inlineStr">
        <is>
          <t>ANEBY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46319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46319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46319</v>
      </c>
      <c r="F175" t="inlineStr">
        <is>
          <t>JÖNKÖPINGS LÄN</t>
        </is>
      </c>
      <c r="G175" t="inlineStr">
        <is>
          <t>ANEBY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46319</v>
      </c>
      <c r="F176" t="inlineStr">
        <is>
          <t>JÖNKÖPINGS LÄN</t>
        </is>
      </c>
      <c r="G176" t="inlineStr">
        <is>
          <t>ANEBY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46319</v>
      </c>
      <c r="F177" t="inlineStr">
        <is>
          <t>JÖNKÖPINGS LÄN</t>
        </is>
      </c>
      <c r="G177" t="inlineStr">
        <is>
          <t>ANEBY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46319</v>
      </c>
      <c r="F178" t="inlineStr">
        <is>
          <t>JÖNKÖPINGS LÄN</t>
        </is>
      </c>
      <c r="G178" t="inlineStr">
        <is>
          <t>ANEBY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38902-2026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46286</v>
      </c>
      <c r="E179" s="1" t="n">
        <v>46319</v>
      </c>
      <c r="F179" t="inlineStr">
        <is>
          <t>JÖNKÖPINGS LÄN</t>
        </is>
      </c>
      <c r="G179" t="inlineStr">
        <is>
          <t>ANEBY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46286</v>
      </c>
      <c r="E180" s="1" t="n">
        <v>46319</v>
      </c>
      <c r="F180" t="inlineStr">
        <is>
          <t>JÖNKÖPINGS LÄN</t>
        </is>
      </c>
      <c r="G180" t="inlineStr">
        <is>
          <t>ANEBY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46319</v>
      </c>
      <c r="F181" t="inlineStr">
        <is>
          <t>JÖNKÖPINGS LÄN</t>
        </is>
      </c>
      <c r="G181" t="inlineStr">
        <is>
          <t>ANEBY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46319</v>
      </c>
      <c r="F182" t="inlineStr">
        <is>
          <t>JÖNKÖPINGS LÄN</t>
        </is>
      </c>
      <c r="G182" t="inlineStr">
        <is>
          <t>ANEBY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46319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46319</v>
      </c>
      <c r="F184" t="inlineStr">
        <is>
          <t>JÖNKÖPINGS LÄN</t>
        </is>
      </c>
      <c r="G184" t="inlineStr">
        <is>
          <t>ANEBY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46319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46319</v>
      </c>
      <c r="F186" t="inlineStr">
        <is>
          <t>JÖNKÖPINGS LÄN</t>
        </is>
      </c>
      <c r="G186" t="inlineStr">
        <is>
          <t>ANEBY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46319</v>
      </c>
      <c r="F187" t="inlineStr">
        <is>
          <t>JÖNKÖPINGS LÄN</t>
        </is>
      </c>
      <c r="G187" t="inlineStr">
        <is>
          <t>ANEBY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45439</v>
      </c>
      <c r="E188" s="1" t="n">
        <v>46319</v>
      </c>
      <c r="F188" t="inlineStr">
        <is>
          <t>JÖNKÖPINGS LÄN</t>
        </is>
      </c>
      <c r="G188" t="inlineStr">
        <is>
          <t>ANEBY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46319</v>
      </c>
      <c r="F189" t="inlineStr">
        <is>
          <t>JÖNKÖPINGS LÄN</t>
        </is>
      </c>
      <c r="G189" t="inlineStr">
        <is>
          <t>ANEBY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46057</v>
      </c>
      <c r="E190" s="1" t="n">
        <v>46319</v>
      </c>
      <c r="F190" t="inlineStr">
        <is>
          <t>JÖNKÖPINGS LÄN</t>
        </is>
      </c>
      <c r="G190" t="inlineStr">
        <is>
          <t>ANEBY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46319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7263-2026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46058</v>
      </c>
      <c r="E192" s="1" t="n">
        <v>46319</v>
      </c>
      <c r="F192" t="inlineStr">
        <is>
          <t>JÖNKÖPINGS LÄN</t>
        </is>
      </c>
      <c r="G192" t="inlineStr">
        <is>
          <t>ANEBY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46319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46319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46319</v>
      </c>
      <c r="F195" t="inlineStr">
        <is>
          <t>JÖNKÖPINGS LÄN</t>
        </is>
      </c>
      <c r="G195" t="inlineStr">
        <is>
          <t>ANEBY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46319</v>
      </c>
      <c r="F196" t="inlineStr">
        <is>
          <t>JÖNKÖPINGS LÄN</t>
        </is>
      </c>
      <c r="G196" t="inlineStr">
        <is>
          <t>ANEBY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46319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46319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46319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46319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46319</v>
      </c>
      <c r="F201" t="inlineStr">
        <is>
          <t>JÖNKÖPINGS LÄN</t>
        </is>
      </c>
      <c r="G201" t="inlineStr">
        <is>
          <t>ANEBY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46319</v>
      </c>
      <c r="F202" t="inlineStr">
        <is>
          <t>JÖNKÖPINGS LÄN</t>
        </is>
      </c>
      <c r="G202" t="inlineStr">
        <is>
          <t>ANEBY</t>
        </is>
      </c>
      <c r="H202" t="inlineStr">
        <is>
          <t>Övriga Aktiebolag</t>
        </is>
      </c>
      <c r="I202" t="n">
        <v>16.8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46254</v>
      </c>
      <c r="E203" s="1" t="n">
        <v>46319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46319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46319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46319</v>
      </c>
      <c r="F206" t="inlineStr">
        <is>
          <t>JÖNKÖPINGS LÄN</t>
        </is>
      </c>
      <c r="G206" t="inlineStr">
        <is>
          <t>ANEBY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46319</v>
      </c>
      <c r="F207" t="inlineStr">
        <is>
          <t>JÖNKÖPINGS LÄN</t>
        </is>
      </c>
      <c r="G207" t="inlineStr">
        <is>
          <t>ANEBY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46254</v>
      </c>
      <c r="E208" s="1" t="n">
        <v>46319</v>
      </c>
      <c r="F208" t="inlineStr">
        <is>
          <t>JÖNKÖPINGS LÄN</t>
        </is>
      </c>
      <c r="G208" t="inlineStr">
        <is>
          <t>ANEBY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46319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46319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46319</v>
      </c>
      <c r="F211" t="inlineStr">
        <is>
          <t>JÖNKÖPINGS LÄN</t>
        </is>
      </c>
      <c r="G211" t="inlineStr">
        <is>
          <t>ANEBY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46319</v>
      </c>
      <c r="F212" t="inlineStr">
        <is>
          <t>JÖNKÖPINGS LÄN</t>
        </is>
      </c>
      <c r="G212" t="inlineStr">
        <is>
          <t>ANEBY</t>
        </is>
      </c>
      <c r="H212" t="inlineStr">
        <is>
          <t>Övriga Aktiebolag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46319</v>
      </c>
      <c r="F213" t="inlineStr">
        <is>
          <t>JÖNKÖPINGS LÄN</t>
        </is>
      </c>
      <c r="G213" t="inlineStr">
        <is>
          <t>ANEBY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46319</v>
      </c>
      <c r="F214" t="inlineStr">
        <is>
          <t>JÖNKÖPINGS LÄN</t>
        </is>
      </c>
      <c r="G214" t="inlineStr">
        <is>
          <t>ANEBY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34850-2026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46255</v>
      </c>
      <c r="E215" s="1" t="n">
        <v>46319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46319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46319</v>
      </c>
      <c r="F217" t="inlineStr">
        <is>
          <t>JÖNKÖPINGS LÄN</t>
        </is>
      </c>
      <c r="G217" t="inlineStr">
        <is>
          <t>ANEBY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46319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46319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46319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46319</v>
      </c>
      <c r="F221" t="inlineStr">
        <is>
          <t>JÖNKÖPINGS LÄN</t>
        </is>
      </c>
      <c r="G221" t="inlineStr">
        <is>
          <t>ANEBY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46319</v>
      </c>
      <c r="F222" t="inlineStr">
        <is>
          <t>JÖNKÖPINGS LÄN</t>
        </is>
      </c>
      <c r="G222" t="inlineStr">
        <is>
          <t>ANEBY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46319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46302</v>
      </c>
      <c r="E224" s="1" t="n">
        <v>46319</v>
      </c>
      <c r="F224" t="inlineStr">
        <is>
          <t>JÖNKÖPINGS LÄN</t>
        </is>
      </c>
      <c r="G224" t="inlineStr">
        <is>
          <t>ANEBY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44890</v>
      </c>
      <c r="E225" s="1" t="n">
        <v>46319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46319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46319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46319</v>
      </c>
      <c r="F228" t="inlineStr">
        <is>
          <t>JÖNKÖPINGS LÄN</t>
        </is>
      </c>
      <c r="G228" t="inlineStr">
        <is>
          <t>ANEBY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HYPERLINK("https://klasma.github.io/Logging_0604/knärot/A 25963-2024 karta knärot.png", "A 25963-2024")</f>
        <v/>
      </c>
      <c r="AA228">
        <f>HYPERLINK("https://klasma.github.io/Logging_0604/klagomål/A 25963-2024 FSC-klagomål.docx", "A 25963-2024")</f>
        <v/>
      </c>
      <c r="AB228">
        <f>HYPERLINK("https://klasma.github.io/Logging_0604/klagomålsmail/A 25963-2024 FSC-klagomål mail.docx", "A 25963-2024")</f>
        <v/>
      </c>
      <c r="AC228">
        <f>HYPERLINK("https://klasma.github.io/Logging_0604/tillsyn/A 25963-2024 tillsynsbegäran.docx", "A 25963-2024")</f>
        <v/>
      </c>
      <c r="AD228">
        <f>HYPERLINK("https://klasma.github.io/Logging_0604/tillsynsmail/A 25963-2024 tillsynsbegäran mail.docx", "A 25963-2024")</f>
        <v/>
      </c>
    </row>
    <row r="229" ht="15" customHeight="1">
      <c r="A229" t="inlineStr">
        <is>
          <t>A 37343-2023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45156</v>
      </c>
      <c r="E229" s="1" t="n">
        <v>46319</v>
      </c>
      <c r="F229" t="inlineStr">
        <is>
          <t>JÖNKÖPINGS LÄN</t>
        </is>
      </c>
      <c r="G229" t="inlineStr">
        <is>
          <t>ANEBY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46319</v>
      </c>
      <c r="F230" t="inlineStr">
        <is>
          <t>JÖNKÖPINGS LÄN</t>
        </is>
      </c>
      <c r="G230" t="inlineStr">
        <is>
          <t>ANEBY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46319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46319</v>
      </c>
      <c r="F232" t="inlineStr">
        <is>
          <t>JÖNKÖPINGS LÄN</t>
        </is>
      </c>
      <c r="G232" t="inlineStr">
        <is>
          <t>ANEBY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46319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46265</v>
      </c>
      <c r="E234" s="1" t="n">
        <v>46319</v>
      </c>
      <c r="F234" t="inlineStr">
        <is>
          <t>JÖNKÖPINGS LÄN</t>
        </is>
      </c>
      <c r="G234" t="inlineStr">
        <is>
          <t>ANEBY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46319</v>
      </c>
      <c r="F235" t="inlineStr">
        <is>
          <t>JÖNKÖPINGS LÄN</t>
        </is>
      </c>
      <c r="G235" t="inlineStr">
        <is>
          <t>ANEBY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46265</v>
      </c>
      <c r="E236" s="1" t="n">
        <v>46319</v>
      </c>
      <c r="F236" t="inlineStr">
        <is>
          <t>JÖNKÖPINGS LÄN</t>
        </is>
      </c>
      <c r="G236" t="inlineStr">
        <is>
          <t>ANEBY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27714-2024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45475</v>
      </c>
      <c r="E237" s="1" t="n">
        <v>46319</v>
      </c>
      <c r="F237" t="inlineStr">
        <is>
          <t>JÖNKÖPINGS LÄN</t>
        </is>
      </c>
      <c r="G237" t="inlineStr">
        <is>
          <t>ANEBY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46319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46319</v>
      </c>
      <c r="F239" t="inlineStr">
        <is>
          <t>JÖNKÖPINGS LÄN</t>
        </is>
      </c>
      <c r="G239" t="inlineStr">
        <is>
          <t>ANEBY</t>
        </is>
      </c>
      <c r="H239" t="inlineStr">
        <is>
          <t>Övriga Aktiebolag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12477-2023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44999</v>
      </c>
      <c r="E240" s="1" t="n">
        <v>46319</v>
      </c>
      <c r="F240" t="inlineStr">
        <is>
          <t>JÖNKÖPINGS LÄN</t>
        </is>
      </c>
      <c r="G240" t="inlineStr">
        <is>
          <t>ANEBY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46319</v>
      </c>
      <c r="F241" t="inlineStr">
        <is>
          <t>JÖNKÖPINGS LÄN</t>
        </is>
      </c>
      <c r="G241" t="inlineStr">
        <is>
          <t>ANEBY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46319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46319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46319</v>
      </c>
      <c r="F244" t="inlineStr">
        <is>
          <t>JÖNKÖPINGS LÄN</t>
        </is>
      </c>
      <c r="G244" t="inlineStr">
        <is>
          <t>ANEBY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46294</v>
      </c>
      <c r="E245" s="1" t="n">
        <v>46319</v>
      </c>
      <c r="F245" t="inlineStr">
        <is>
          <t>JÖNKÖPINGS LÄN</t>
        </is>
      </c>
      <c r="G245" t="inlineStr">
        <is>
          <t>ANEBY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46319</v>
      </c>
      <c r="F246" t="inlineStr">
        <is>
          <t>JÖNKÖPINGS LÄN</t>
        </is>
      </c>
      <c r="G246" t="inlineStr">
        <is>
          <t>ANEBY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46319</v>
      </c>
      <c r="F247" t="inlineStr">
        <is>
          <t>JÖNKÖPINGS LÄN</t>
        </is>
      </c>
      <c r="G247" t="inlineStr">
        <is>
          <t>ANEBY</t>
        </is>
      </c>
      <c r="H247" t="inlineStr">
        <is>
          <t>Sveaskog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46273</v>
      </c>
      <c r="E248" s="1" t="n">
        <v>46319</v>
      </c>
      <c r="F248" t="inlineStr">
        <is>
          <t>JÖNKÖPINGS LÄN</t>
        </is>
      </c>
      <c r="G248" t="inlineStr">
        <is>
          <t>ANEBY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46317</v>
      </c>
      <c r="E249" s="1" t="n">
        <v>46319</v>
      </c>
      <c r="F249" t="inlineStr">
        <is>
          <t>JÖNKÖPINGS LÄN</t>
        </is>
      </c>
      <c r="G249" t="inlineStr">
        <is>
          <t>ANEBY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46314</v>
      </c>
      <c r="E250" s="1" t="n">
        <v>46319</v>
      </c>
      <c r="F250" t="inlineStr">
        <is>
          <t>JÖNKÖPINGS LÄN</t>
        </is>
      </c>
      <c r="G250" t="inlineStr">
        <is>
          <t>ANEBY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44888</v>
      </c>
      <c r="E251" s="1" t="n">
        <v>46319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46319</v>
      </c>
      <c r="F252" t="inlineStr">
        <is>
          <t>JÖNKÖPINGS LÄN</t>
        </is>
      </c>
      <c r="G252" t="inlineStr">
        <is>
          <t>ANEBY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46319</v>
      </c>
      <c r="F253" t="inlineStr">
        <is>
          <t>JÖNKÖPINGS LÄN</t>
        </is>
      </c>
      <c r="G253" t="inlineStr">
        <is>
          <t>ANEBY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46317</v>
      </c>
      <c r="E254" s="1" t="n">
        <v>46319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21356-2026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46147</v>
      </c>
      <c r="E255" s="1" t="n">
        <v>46319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46319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11565-2025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45727</v>
      </c>
      <c r="E257" s="1" t="n">
        <v>46319</v>
      </c>
      <c r="F257" t="inlineStr">
        <is>
          <t>JÖNKÖPINGS LÄN</t>
        </is>
      </c>
      <c r="G257" t="inlineStr">
        <is>
          <t>ANEBY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46319</v>
      </c>
      <c r="F258" t="inlineStr">
        <is>
          <t>JÖNKÖPINGS LÄN</t>
        </is>
      </c>
      <c r="G258" t="inlineStr">
        <is>
          <t>ANEBY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46319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46319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46319</v>
      </c>
      <c r="F261" t="inlineStr">
        <is>
          <t>JÖNKÖPINGS LÄN</t>
        </is>
      </c>
      <c r="G261" t="inlineStr">
        <is>
          <t>ANEBY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46319</v>
      </c>
      <c r="F262" t="inlineStr">
        <is>
          <t>JÖNKÖPINGS LÄN</t>
        </is>
      </c>
      <c r="G262" t="inlineStr">
        <is>
          <t>ANEBY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46319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46319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46319</v>
      </c>
      <c r="F265" t="inlineStr">
        <is>
          <t>JÖNKÖPINGS LÄN</t>
        </is>
      </c>
      <c r="G265" t="inlineStr">
        <is>
          <t>ANEBY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46319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45468</v>
      </c>
      <c r="E267" s="1" t="n">
        <v>46319</v>
      </c>
      <c r="F267" t="inlineStr">
        <is>
          <t>JÖNKÖPINGS LÄN</t>
        </is>
      </c>
      <c r="G267" t="inlineStr">
        <is>
          <t>ANEBY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45645</v>
      </c>
      <c r="E268" s="1" t="n">
        <v>46319</v>
      </c>
      <c r="F268" t="inlineStr">
        <is>
          <t>JÖNKÖPINGS LÄN</t>
        </is>
      </c>
      <c r="G268" t="inlineStr">
        <is>
          <t>ANEBY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45141</v>
      </c>
      <c r="E269" s="1" t="n">
        <v>46319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46319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46319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46319</v>
      </c>
      <c r="F272" t="inlineStr">
        <is>
          <t>JÖNKÖPINGS LÄN</t>
        </is>
      </c>
      <c r="G272" t="inlineStr">
        <is>
          <t>ANEBY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43613-2023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45184</v>
      </c>
      <c r="E273" s="1" t="n">
        <v>46319</v>
      </c>
      <c r="F273" t="inlineStr">
        <is>
          <t>JÖNKÖPINGS LÄN</t>
        </is>
      </c>
      <c r="G273" t="inlineStr">
        <is>
          <t>ANEBY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45076</v>
      </c>
      <c r="E274" s="1" t="n">
        <v>46319</v>
      </c>
      <c r="F274" t="inlineStr">
        <is>
          <t>JÖNKÖPINGS LÄN</t>
        </is>
      </c>
      <c r="G274" t="inlineStr">
        <is>
          <t>ANEBY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46319</v>
      </c>
      <c r="F275" t="inlineStr">
        <is>
          <t>JÖNKÖPINGS LÄN</t>
        </is>
      </c>
      <c r="G275" t="inlineStr">
        <is>
          <t>ANEBY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45182</v>
      </c>
      <c r="E276" s="1" t="n">
        <v>46319</v>
      </c>
      <c r="F276" t="inlineStr">
        <is>
          <t>JÖNKÖPINGS LÄN</t>
        </is>
      </c>
      <c r="G276" t="inlineStr">
        <is>
          <t>ANEBY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46319</v>
      </c>
      <c r="F277" t="inlineStr">
        <is>
          <t>JÖNKÖPINGS LÄN</t>
        </is>
      </c>
      <c r="G277" t="inlineStr">
        <is>
          <t>ANEBY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46319</v>
      </c>
      <c r="F278" t="inlineStr">
        <is>
          <t>JÖNKÖPINGS LÄN</t>
        </is>
      </c>
      <c r="G278" t="inlineStr">
        <is>
          <t>ANEBY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45033</v>
      </c>
      <c r="E279" s="1" t="n">
        <v>46319</v>
      </c>
      <c r="F279" t="inlineStr">
        <is>
          <t>JÖNKÖPINGS LÄN</t>
        </is>
      </c>
      <c r="G279" t="inlineStr">
        <is>
          <t>ANEBY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45772</v>
      </c>
      <c r="E280" s="1" t="n">
        <v>46319</v>
      </c>
      <c r="F280" t="inlineStr">
        <is>
          <t>JÖNKÖPINGS LÄN</t>
        </is>
      </c>
      <c r="G280" t="inlineStr">
        <is>
          <t>ANEBY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46319</v>
      </c>
      <c r="F281" t="inlineStr">
        <is>
          <t>JÖNKÖPINGS LÄN</t>
        </is>
      </c>
      <c r="G281" t="inlineStr">
        <is>
          <t>ANEBY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46319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45016</v>
      </c>
      <c r="E283" s="1" t="n">
        <v>46319</v>
      </c>
      <c r="F283" t="inlineStr">
        <is>
          <t>JÖNKÖPINGS LÄN</t>
        </is>
      </c>
      <c r="G283" t="inlineStr">
        <is>
          <t>ANEBY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23354-2023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45076</v>
      </c>
      <c r="E284" s="1" t="n">
        <v>46319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46319</v>
      </c>
      <c r="F285" t="inlineStr">
        <is>
          <t>JÖNKÖPINGS LÄN</t>
        </is>
      </c>
      <c r="G285" t="inlineStr">
        <is>
          <t>ANEBY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46319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46319</v>
      </c>
      <c r="F287" t="inlineStr">
        <is>
          <t>JÖNKÖPINGS LÄN</t>
        </is>
      </c>
      <c r="G287" t="inlineStr">
        <is>
          <t>ANEBY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45089</v>
      </c>
      <c r="E288" s="1" t="n">
        <v>46319</v>
      </c>
      <c r="F288" t="inlineStr">
        <is>
          <t>JÖNKÖPINGS LÄN</t>
        </is>
      </c>
      <c r="G288" t="inlineStr">
        <is>
          <t>ANEBY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46319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46319</v>
      </c>
      <c r="F290" t="inlineStr">
        <is>
          <t>JÖNKÖPINGS LÄN</t>
        </is>
      </c>
      <c r="G290" t="inlineStr">
        <is>
          <t>ANEBY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46319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45384</v>
      </c>
      <c r="E292" s="1" t="n">
        <v>46319</v>
      </c>
      <c r="F292" t="inlineStr">
        <is>
          <t>JÖNKÖPINGS LÄN</t>
        </is>
      </c>
      <c r="G292" t="inlineStr">
        <is>
          <t>ANEBY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46319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46319</v>
      </c>
      <c r="F294" t="inlineStr">
        <is>
          <t>JÖNKÖPINGS LÄN</t>
        </is>
      </c>
      <c r="G294" t="inlineStr">
        <is>
          <t>ANEBY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46319</v>
      </c>
      <c r="F295" t="inlineStr">
        <is>
          <t>JÖNKÖPINGS LÄN</t>
        </is>
      </c>
      <c r="G295" t="inlineStr">
        <is>
          <t>ANEBY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46319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46319</v>
      </c>
      <c r="F297" t="inlineStr">
        <is>
          <t>JÖNKÖPINGS LÄN</t>
        </is>
      </c>
      <c r="G297" t="inlineStr">
        <is>
          <t>ANEBY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45122</v>
      </c>
      <c r="E298" s="1" t="n">
        <v>46319</v>
      </c>
      <c r="F298" t="inlineStr">
        <is>
          <t>JÖNKÖPINGS LÄN</t>
        </is>
      </c>
      <c r="G298" t="inlineStr">
        <is>
          <t>ANEBY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46319</v>
      </c>
      <c r="F299" t="inlineStr">
        <is>
          <t>JÖNKÖPINGS LÄN</t>
        </is>
      </c>
      <c r="G299" t="inlineStr">
        <is>
          <t>ANEBY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46319</v>
      </c>
      <c r="F300" t="inlineStr">
        <is>
          <t>JÖNKÖPINGS LÄN</t>
        </is>
      </c>
      <c r="G300" t="inlineStr">
        <is>
          <t>ANEBY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45304</v>
      </c>
      <c r="E301" s="1" t="n">
        <v>46319</v>
      </c>
      <c r="F301" t="inlineStr">
        <is>
          <t>JÖNKÖPINGS LÄN</t>
        </is>
      </c>
      <c r="G301" t="inlineStr">
        <is>
          <t>ANEBY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46319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46319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45468</v>
      </c>
      <c r="E304" s="1" t="n">
        <v>46319</v>
      </c>
      <c r="F304" t="inlineStr">
        <is>
          <t>JÖNKÖPINGS LÄN</t>
        </is>
      </c>
      <c r="G304" t="inlineStr">
        <is>
          <t>ANEBY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46319</v>
      </c>
      <c r="F305" t="inlineStr">
        <is>
          <t>JÖNKÖPINGS LÄN</t>
        </is>
      </c>
      <c r="G305" t="inlineStr">
        <is>
          <t>ANEBY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46319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46319</v>
      </c>
      <c r="F307" t="inlineStr">
        <is>
          <t>JÖNKÖPINGS LÄN</t>
        </is>
      </c>
      <c r="G307" t="inlineStr">
        <is>
          <t>ANEBY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46319</v>
      </c>
      <c r="F308" t="inlineStr">
        <is>
          <t>JÖNKÖPINGS LÄN</t>
        </is>
      </c>
      <c r="G308" t="inlineStr">
        <is>
          <t>ANEBY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50069-2024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45600</v>
      </c>
      <c r="E309" s="1" t="n">
        <v>46319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54213-2024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45616</v>
      </c>
      <c r="E310" s="1" t="n">
        <v>46319</v>
      </c>
      <c r="F310" t="inlineStr">
        <is>
          <t>JÖNKÖPINGS LÄN</t>
        </is>
      </c>
      <c r="G310" t="inlineStr">
        <is>
          <t>ANEBY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46319</v>
      </c>
      <c r="F311" t="inlineStr">
        <is>
          <t>JÖNKÖPINGS LÄN</t>
        </is>
      </c>
      <c r="G311" t="inlineStr">
        <is>
          <t>ANEBY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44578</v>
      </c>
      <c r="E312" s="1" t="n">
        <v>46319</v>
      </c>
      <c r="F312" t="inlineStr">
        <is>
          <t>JÖNKÖPINGS LÄN</t>
        </is>
      </c>
      <c r="G312" t="inlineStr">
        <is>
          <t>ANEBY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46319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46319</v>
      </c>
      <c r="F314" t="inlineStr">
        <is>
          <t>JÖNKÖPINGS LÄN</t>
        </is>
      </c>
      <c r="G314" t="inlineStr">
        <is>
          <t>ANEBY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46319</v>
      </c>
      <c r="F315" t="inlineStr">
        <is>
          <t>JÖNKÖPINGS LÄN</t>
        </is>
      </c>
      <c r="G315" t="inlineStr">
        <is>
          <t>ANEBY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46319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46319</v>
      </c>
      <c r="F317" t="inlineStr">
        <is>
          <t>JÖNKÖPINGS LÄN</t>
        </is>
      </c>
      <c r="G317" t="inlineStr">
        <is>
          <t>ANEBY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46319</v>
      </c>
      <c r="F318" t="inlineStr">
        <is>
          <t>JÖNKÖPINGS LÄN</t>
        </is>
      </c>
      <c r="G318" t="inlineStr">
        <is>
          <t>ANEBY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46319</v>
      </c>
      <c r="F319" t="inlineStr">
        <is>
          <t>JÖNKÖPINGS LÄN</t>
        </is>
      </c>
      <c r="G319" t="inlineStr">
        <is>
          <t>ANEBY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46319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46319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46319</v>
      </c>
      <c r="F322" t="inlineStr">
        <is>
          <t>JÖNKÖPINGS LÄN</t>
        </is>
      </c>
      <c r="G322" t="inlineStr">
        <is>
          <t>ANEBY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45610</v>
      </c>
      <c r="E323" s="1" t="n">
        <v>46319</v>
      </c>
      <c r="F323" t="inlineStr">
        <is>
          <t>JÖNKÖPINGS LÄN</t>
        </is>
      </c>
      <c r="G323" t="inlineStr">
        <is>
          <t>ANEBY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10155-2024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45364</v>
      </c>
      <c r="E324" s="1" t="n">
        <v>46319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11353-2024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46319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46319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46319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21353-2022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44705</v>
      </c>
      <c r="E328" s="1" t="n">
        <v>46319</v>
      </c>
      <c r="F328" t="inlineStr">
        <is>
          <t>JÖNKÖPINGS LÄN</t>
        </is>
      </c>
      <c r="G328" t="inlineStr">
        <is>
          <t>ANEBY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35420-2023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46319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17380-2022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46319</v>
      </c>
      <c r="F330" t="inlineStr">
        <is>
          <t>JÖNKÖPINGS LÄN</t>
        </is>
      </c>
      <c r="G330" t="inlineStr">
        <is>
          <t>ANEBY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10463-2022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46319</v>
      </c>
      <c r="F331" t="inlineStr">
        <is>
          <t>JÖNKÖPINGS LÄN</t>
        </is>
      </c>
      <c r="G331" t="inlineStr">
        <is>
          <t>ANEBY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46319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44700</v>
      </c>
      <c r="E333" s="1" t="n">
        <v>46319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44671</v>
      </c>
      <c r="E334" s="1" t="n">
        <v>46319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26769-2022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44739</v>
      </c>
      <c r="E335" s="1" t="n">
        <v>46319</v>
      </c>
      <c r="F335" t="inlineStr">
        <is>
          <t>JÖNKÖPINGS LÄN</t>
        </is>
      </c>
      <c r="G335" t="inlineStr">
        <is>
          <t>ANEBY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23557-2022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44721</v>
      </c>
      <c r="E336" s="1" t="n">
        <v>46319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46319</v>
      </c>
      <c r="F337" t="inlineStr">
        <is>
          <t>JÖNKÖPINGS LÄN</t>
        </is>
      </c>
      <c r="G337" t="inlineStr">
        <is>
          <t>ANEBY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46319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46319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45300</v>
      </c>
      <c r="E340" s="1" t="n">
        <v>46319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45769</v>
      </c>
      <c r="E341" s="1" t="n">
        <v>46319</v>
      </c>
      <c r="F341" t="inlineStr">
        <is>
          <t>JÖNKÖPINGS LÄN</t>
        </is>
      </c>
      <c r="G341" t="inlineStr">
        <is>
          <t>ANEBY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45304</v>
      </c>
      <c r="E342" s="1" t="n">
        <v>46319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46319</v>
      </c>
      <c r="F343" t="inlineStr">
        <is>
          <t>JÖNKÖPINGS LÄN</t>
        </is>
      </c>
      <c r="G343" t="inlineStr">
        <is>
          <t>ANEBY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46319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44847</v>
      </c>
      <c r="E345" s="1" t="n">
        <v>46319</v>
      </c>
      <c r="F345" t="inlineStr">
        <is>
          <t>JÖNKÖPINGS LÄN</t>
        </is>
      </c>
      <c r="G345" t="inlineStr">
        <is>
          <t>ANEBY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46319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46319</v>
      </c>
      <c r="F347" t="inlineStr">
        <is>
          <t>JÖNKÖPINGS LÄN</t>
        </is>
      </c>
      <c r="G347" t="inlineStr">
        <is>
          <t>ANEBY</t>
        </is>
      </c>
      <c r="H347" t="inlineStr">
        <is>
          <t>Sveaskog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46319</v>
      </c>
      <c r="F348" t="inlineStr">
        <is>
          <t>JÖNKÖPINGS LÄN</t>
        </is>
      </c>
      <c r="G348" t="inlineStr">
        <is>
          <t>ANEBY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45574</v>
      </c>
      <c r="E349" s="1" t="n">
        <v>46319</v>
      </c>
      <c r="F349" t="inlineStr">
        <is>
          <t>JÖNKÖPINGS LÄN</t>
        </is>
      </c>
      <c r="G349" t="inlineStr">
        <is>
          <t>ANEBY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67414-2021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44524</v>
      </c>
      <c r="E350" s="1" t="n">
        <v>46319</v>
      </c>
      <c r="F350" t="inlineStr">
        <is>
          <t>JÖNKÖPINGS LÄN</t>
        </is>
      </c>
      <c r="G350" t="inlineStr">
        <is>
          <t>ANEBY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44565</v>
      </c>
      <c r="E351" s="1" t="n">
        <v>46319</v>
      </c>
      <c r="F351" t="inlineStr">
        <is>
          <t>JÖNKÖPINGS LÄN</t>
        </is>
      </c>
      <c r="G351" t="inlineStr">
        <is>
          <t>ANEBY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44985</v>
      </c>
      <c r="E352" s="1" t="n">
        <v>46319</v>
      </c>
      <c r="F352" t="inlineStr">
        <is>
          <t>JÖNKÖPINGS LÄN</t>
        </is>
      </c>
      <c r="G352" t="inlineStr">
        <is>
          <t>ANEBY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46319</v>
      </c>
      <c r="F353" t="inlineStr">
        <is>
          <t>JÖNKÖPINGS LÄN</t>
        </is>
      </c>
      <c r="G353" t="inlineStr">
        <is>
          <t>ANEBY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46319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5767-2022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44848</v>
      </c>
      <c r="E355" s="1" t="n">
        <v>46319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46319</v>
      </c>
      <c r="F356" t="inlineStr">
        <is>
          <t>JÖNKÖPINGS LÄN</t>
        </is>
      </c>
      <c r="G356" t="inlineStr">
        <is>
          <t>ANEBY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1677-2023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45063</v>
      </c>
      <c r="E357" s="1" t="n">
        <v>46319</v>
      </c>
      <c r="F357" t="inlineStr">
        <is>
          <t>JÖNKÖPINGS LÄN</t>
        </is>
      </c>
      <c r="G357" t="inlineStr">
        <is>
          <t>ANEBY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3586-2024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45546</v>
      </c>
      <c r="E358" s="1" t="n">
        <v>46319</v>
      </c>
      <c r="F358" t="inlineStr">
        <is>
          <t>JÖNKÖPINGS LÄN</t>
        </is>
      </c>
      <c r="G358" t="inlineStr">
        <is>
          <t>ANEBY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6631-2022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46319</v>
      </c>
      <c r="F359" t="inlineStr">
        <is>
          <t>JÖNKÖPINGS LÄN</t>
        </is>
      </c>
      <c r="G359" t="inlineStr">
        <is>
          <t>ANEBY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1729-2023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45069</v>
      </c>
      <c r="E360" s="1" t="n">
        <v>46319</v>
      </c>
      <c r="F360" t="inlineStr">
        <is>
          <t>JÖNKÖPINGS LÄN</t>
        </is>
      </c>
      <c r="G360" t="inlineStr">
        <is>
          <t>ANEBY</t>
        </is>
      </c>
      <c r="I360" t="n">
        <v>16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2550-2023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45135</v>
      </c>
      <c r="E361" s="1" t="n">
        <v>46319</v>
      </c>
      <c r="F361" t="inlineStr">
        <is>
          <t>JÖNKÖPINGS LÄN</t>
        </is>
      </c>
      <c r="G361" t="inlineStr">
        <is>
          <t>ANEBY</t>
        </is>
      </c>
      <c r="I361" t="n">
        <v>58.3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6634-2022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44886</v>
      </c>
      <c r="E362" s="1" t="n">
        <v>46319</v>
      </c>
      <c r="F362" t="inlineStr">
        <is>
          <t>JÖNKÖPINGS LÄN</t>
        </is>
      </c>
      <c r="G362" t="inlineStr">
        <is>
          <t>ANEBY</t>
        </is>
      </c>
      <c r="I362" t="n">
        <v>34.3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6623-2022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46319</v>
      </c>
      <c r="F363" t="inlineStr">
        <is>
          <t>JÖNKÖPINGS LÄN</t>
        </is>
      </c>
      <c r="G363" t="inlineStr">
        <is>
          <t>ANEBY</t>
        </is>
      </c>
      <c r="I363" t="n">
        <v>13.8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469-2025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45702</v>
      </c>
      <c r="E364" s="1" t="n">
        <v>46319</v>
      </c>
      <c r="F364" t="inlineStr">
        <is>
          <t>JÖNKÖPINGS LÄN</t>
        </is>
      </c>
      <c r="G364" t="inlineStr">
        <is>
          <t>ANEBY</t>
        </is>
      </c>
      <c r="I364" t="n">
        <v>22.8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20-2026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46029</v>
      </c>
      <c r="E365" s="1" t="n">
        <v>46319</v>
      </c>
      <c r="F365" t="inlineStr">
        <is>
          <t>JÖNKÖPINGS LÄN</t>
        </is>
      </c>
      <c r="G365" t="inlineStr">
        <is>
          <t>ANEBY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1152-2026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46135</v>
      </c>
      <c r="E366" s="1" t="n">
        <v>46319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2026-10-24T01:58:15Z</dcterms:created>
  <dcterms:modified xmlns:dcterms="http://purl.org/dc/terms/" xmlns:xsi="http://www.w3.org/2001/XMLSchema-instance" xsi:type="dcterms:W3CDTF">2026-10-24T01:58:15Z</dcterms:modified>
</cp:coreProperties>
</file>