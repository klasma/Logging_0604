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46227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46227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46227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46227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46227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46227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8457-2025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45709</v>
      </c>
      <c r="E18" s="1" t="n">
        <v>46227</v>
      </c>
      <c r="F18" t="inlineStr">
        <is>
          <t>JÖNKÖPINGS LÄN</t>
        </is>
      </c>
      <c r="G18" t="inlineStr">
        <is>
          <t>ANEBY</t>
        </is>
      </c>
      <c r="I18" t="n">
        <v>13.1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Rödgul trumpetsvamp
Spillkråka
Lopplummer (aggregat)</t>
        </is>
      </c>
      <c r="W18">
        <f>HYPERLINK("https://klasma.github.io/Logging_0604/artfynd/A 8457-2025 artfynd.xlsx", "A 8457-2025")</f>
        <v/>
      </c>
      <c r="X18">
        <f>HYPERLINK("https://klasma.github.io/Logging_0604/kartor/A 8457-2025 karta.png", "A 8457-2025")</f>
        <v/>
      </c>
      <c r="Y18">
        <f>HYPERLINK("https://klasma.github.io/Logging_0604/kartor_geotiff/A 8457-2025 georefererad karta.tif", "A 8457-2025")</f>
        <v/>
      </c>
      <c r="AA18">
        <f>HYPERLINK("https://klasma.github.io/Logging_0604/klagomål/A 8457-2025 FSC-klagomål.docx", "A 8457-2025")</f>
        <v/>
      </c>
      <c r="AB18">
        <f>HYPERLINK("https://klasma.github.io/Logging_0604/klagomålsmail/A 8457-2025 FSC-klagomål mail.docx", "A 8457-2025")</f>
        <v/>
      </c>
      <c r="AC18">
        <f>HYPERLINK("https://klasma.github.io/Logging_0604/tillsyn/A 8457-2025 tillsynsbegäran.docx", "A 8457-2025")</f>
        <v/>
      </c>
      <c r="AD18">
        <f>HYPERLINK("https://klasma.github.io/Logging_0604/tillsynsmail/A 8457-2025 tillsynsbegäran mail.docx", "A 8457-2025")</f>
        <v/>
      </c>
      <c r="AE18">
        <f>HYPERLINK("https://klasma.github.io/Logging_0604/fåglar/A 8457-2025 prioriterade fågelarter.docx", "A 8457-2025")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46227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46227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46227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46227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46227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46227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46227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46227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46227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46227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46227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46227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46227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46227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46227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46227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46227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46227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46227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46227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46227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46227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46227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46227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46227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46227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46227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46227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46227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46227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46227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46227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46227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46227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46227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46227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46227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46227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46227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46227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46227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46227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46227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46227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46227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46227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46227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46227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46227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46227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46227</v>
      </c>
      <c r="F76" t="inlineStr">
        <is>
          <t>JÖNKÖPINGS LÄN</t>
        </is>
      </c>
      <c r="G76" t="inlineStr">
        <is>
          <t>ANEBY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45749</v>
      </c>
      <c r="E77" s="1" t="n">
        <v>46227</v>
      </c>
      <c r="F77" t="inlineStr">
        <is>
          <t>JÖNKÖPINGS LÄN</t>
        </is>
      </c>
      <c r="G77" t="inlineStr">
        <is>
          <t>ANEBY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44423</v>
      </c>
      <c r="E78" s="1" t="n">
        <v>46227</v>
      </c>
      <c r="F78" t="inlineStr">
        <is>
          <t>JÖNKÖPINGS LÄN</t>
        </is>
      </c>
      <c r="G78" t="inlineStr">
        <is>
          <t>ANEBY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46227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46227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46227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45537</v>
      </c>
      <c r="E82" s="1" t="n">
        <v>46227</v>
      </c>
      <c r="F82" t="inlineStr">
        <is>
          <t>JÖNKÖPINGS LÄN</t>
        </is>
      </c>
      <c r="G82" t="inlineStr">
        <is>
          <t>ANEBY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46227</v>
      </c>
      <c r="F83" t="inlineStr">
        <is>
          <t>JÖNKÖPINGS LÄN</t>
        </is>
      </c>
      <c r="G83" t="inlineStr">
        <is>
          <t>ANEBY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46227</v>
      </c>
      <c r="F84" t="inlineStr">
        <is>
          <t>JÖNKÖPINGS LÄN</t>
        </is>
      </c>
      <c r="G84" t="inlineStr">
        <is>
          <t>ANEBY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46227</v>
      </c>
      <c r="F85" t="inlineStr">
        <is>
          <t>JÖNKÖPINGS LÄN</t>
        </is>
      </c>
      <c r="G85" t="inlineStr">
        <is>
          <t>ANEBY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46227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46227</v>
      </c>
      <c r="F87" t="inlineStr">
        <is>
          <t>JÖNKÖPINGS LÄN</t>
        </is>
      </c>
      <c r="G87" t="inlineStr">
        <is>
          <t>ANEBY</t>
        </is>
      </c>
      <c r="H87" t="inlineStr">
        <is>
          <t>Övriga Aktiebolag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46227</v>
      </c>
      <c r="F88" t="inlineStr">
        <is>
          <t>JÖNKÖPINGS LÄN</t>
        </is>
      </c>
      <c r="G88" t="inlineStr">
        <is>
          <t>ANEBY</t>
        </is>
      </c>
      <c r="H88" t="inlineStr">
        <is>
          <t>Kyrkan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46227</v>
      </c>
      <c r="F89" t="inlineStr">
        <is>
          <t>JÖNKÖPINGS LÄN</t>
        </is>
      </c>
      <c r="G89" t="inlineStr">
        <is>
          <t>ANEBY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46227</v>
      </c>
      <c r="F90" t="inlineStr">
        <is>
          <t>JÖNKÖPINGS LÄN</t>
        </is>
      </c>
      <c r="G90" t="inlineStr">
        <is>
          <t>ANEBY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45250</v>
      </c>
      <c r="E91" s="1" t="n">
        <v>46227</v>
      </c>
      <c r="F91" t="inlineStr">
        <is>
          <t>JÖNKÖPINGS LÄN</t>
        </is>
      </c>
      <c r="G91" t="inlineStr">
        <is>
          <t>ANEBY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14329-2024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46227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46227</v>
      </c>
      <c r="F93" t="inlineStr">
        <is>
          <t>JÖNKÖPINGS LÄN</t>
        </is>
      </c>
      <c r="G93" t="inlineStr">
        <is>
          <t>ANEBY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45001</v>
      </c>
      <c r="E94" s="1" t="n">
        <v>46227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46227</v>
      </c>
      <c r="F95" t="inlineStr">
        <is>
          <t>JÖNKÖPINGS LÄN</t>
        </is>
      </c>
      <c r="G95" t="inlineStr">
        <is>
          <t>ANEBY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45698</v>
      </c>
      <c r="E96" s="1" t="n">
        <v>46227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45461</v>
      </c>
      <c r="E97" s="1" t="n">
        <v>46227</v>
      </c>
      <c r="F97" t="inlineStr">
        <is>
          <t>JÖNKÖPINGS LÄN</t>
        </is>
      </c>
      <c r="G97" t="inlineStr">
        <is>
          <t>ANEBY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44860</v>
      </c>
      <c r="E98" s="1" t="n">
        <v>46227</v>
      </c>
      <c r="F98" t="inlineStr">
        <is>
          <t>JÖNKÖPINGS LÄN</t>
        </is>
      </c>
      <c r="G98" t="inlineStr">
        <is>
          <t>ANEBY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46227</v>
      </c>
      <c r="F99" t="inlineStr">
        <is>
          <t>JÖNKÖPINGS LÄN</t>
        </is>
      </c>
      <c r="G99" t="inlineStr">
        <is>
          <t>ANEBY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46227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46227</v>
      </c>
      <c r="F101" t="inlineStr">
        <is>
          <t>JÖNKÖPINGS LÄN</t>
        </is>
      </c>
      <c r="G101" t="inlineStr">
        <is>
          <t>ANEBY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46227</v>
      </c>
      <c r="F102" t="inlineStr">
        <is>
          <t>JÖNKÖPINGS LÄN</t>
        </is>
      </c>
      <c r="G102" t="inlineStr">
        <is>
          <t>ANEBY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46227</v>
      </c>
      <c r="F103" t="inlineStr">
        <is>
          <t>JÖNKÖPINGS LÄN</t>
        </is>
      </c>
      <c r="G103" t="inlineStr">
        <is>
          <t>ANEBY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46227</v>
      </c>
      <c r="F104" t="inlineStr">
        <is>
          <t>JÖNKÖPINGS LÄN</t>
        </is>
      </c>
      <c r="G104" t="inlineStr">
        <is>
          <t>ANEBY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45398</v>
      </c>
      <c r="E105" s="1" t="n">
        <v>46227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46227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46227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46227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45356</v>
      </c>
      <c r="E109" s="1" t="n">
        <v>46227</v>
      </c>
      <c r="F109" t="inlineStr">
        <is>
          <t>JÖNKÖPINGS LÄN</t>
        </is>
      </c>
      <c r="G109" t="inlineStr">
        <is>
          <t>ANEBY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46227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46227</v>
      </c>
      <c r="F111" t="inlineStr">
        <is>
          <t>JÖNKÖPINGS LÄN</t>
        </is>
      </c>
      <c r="G111" t="inlineStr">
        <is>
          <t>ANEBY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46227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46227</v>
      </c>
      <c r="F113" t="inlineStr">
        <is>
          <t>JÖNKÖPINGS LÄN</t>
        </is>
      </c>
      <c r="G113" t="inlineStr">
        <is>
          <t>ANEBY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25963-2024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45467</v>
      </c>
      <c r="E114" s="1" t="n">
        <v>46227</v>
      </c>
      <c r="F114" t="inlineStr">
        <is>
          <t>JÖNKÖPINGS LÄN</t>
        </is>
      </c>
      <c r="G114" t="inlineStr">
        <is>
          <t>ANEBY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  <c r="Z114">
        <f>HYPERLINK("https://klasma.github.io/Logging_0604/knärot/A 25963-2024 karta knärot.png", "A 25963-2024")</f>
        <v/>
      </c>
      <c r="AA114">
        <f>HYPERLINK("https://klasma.github.io/Logging_0604/klagomål/A 25963-2024 FSC-klagomål.docx", "A 25963-2024")</f>
        <v/>
      </c>
      <c r="AB114">
        <f>HYPERLINK("https://klasma.github.io/Logging_0604/klagomålsmail/A 25963-2024 FSC-klagomål mail.docx", "A 25963-2024")</f>
        <v/>
      </c>
      <c r="AC114">
        <f>HYPERLINK("https://klasma.github.io/Logging_0604/tillsyn/A 25963-2024 tillsynsbegäran.docx", "A 25963-2024")</f>
        <v/>
      </c>
      <c r="AD114">
        <f>HYPERLINK("https://klasma.github.io/Logging_0604/tillsynsmail/A 25963-2024 tillsynsbegäran mail.docx", "A 25963-2024")</f>
        <v/>
      </c>
    </row>
    <row r="115" ht="15" customHeight="1">
      <c r="A115" t="inlineStr">
        <is>
          <t>A 37343-2023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45156</v>
      </c>
      <c r="E115" s="1" t="n">
        <v>46227</v>
      </c>
      <c r="F115" t="inlineStr">
        <is>
          <t>JÖNKÖPINGS LÄN</t>
        </is>
      </c>
      <c r="G115" t="inlineStr">
        <is>
          <t>ANEBY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35555-2024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46227</v>
      </c>
      <c r="F116" t="inlineStr">
        <is>
          <t>JÖNKÖPINGS LÄN</t>
        </is>
      </c>
      <c r="G116" t="inlineStr">
        <is>
          <t>ANEBY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73166-2021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46227</v>
      </c>
      <c r="F117" t="inlineStr">
        <is>
          <t>JÖNKÖPINGS LÄN</t>
        </is>
      </c>
      <c r="G117" t="inlineStr">
        <is>
          <t>ANEBY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27714-2024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45475</v>
      </c>
      <c r="E118" s="1" t="n">
        <v>46227</v>
      </c>
      <c r="F118" t="inlineStr">
        <is>
          <t>JÖNKÖPINGS LÄN</t>
        </is>
      </c>
      <c r="G118" t="inlineStr">
        <is>
          <t>ANEBY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46227</v>
      </c>
      <c r="F119" t="inlineStr">
        <is>
          <t>JÖNKÖPINGS LÄN</t>
        </is>
      </c>
      <c r="G119" t="inlineStr">
        <is>
          <t>ANEBY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45967</v>
      </c>
      <c r="E120" s="1" t="n">
        <v>46227</v>
      </c>
      <c r="F120" t="inlineStr">
        <is>
          <t>JÖNKÖPINGS LÄN</t>
        </is>
      </c>
      <c r="G120" t="inlineStr">
        <is>
          <t>ANEBY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45967</v>
      </c>
      <c r="E121" s="1" t="n">
        <v>46227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46227</v>
      </c>
      <c r="F122" t="inlineStr">
        <is>
          <t>JÖNKÖPINGS LÄN</t>
        </is>
      </c>
      <c r="G122" t="inlineStr">
        <is>
          <t>ANEBY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46227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46227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12477-2023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44999</v>
      </c>
      <c r="E125" s="1" t="n">
        <v>46227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46227</v>
      </c>
      <c r="F126" t="inlineStr">
        <is>
          <t>JÖNKÖPINGS LÄN</t>
        </is>
      </c>
      <c r="G126" t="inlineStr">
        <is>
          <t>ANEBY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46227</v>
      </c>
      <c r="F127" t="inlineStr">
        <is>
          <t>JÖNKÖPINGS LÄN</t>
        </is>
      </c>
      <c r="G127" t="inlineStr">
        <is>
          <t>ANEBY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42071-2025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46227</v>
      </c>
      <c r="F128" t="inlineStr">
        <is>
          <t>JÖNKÖPINGS LÄN</t>
        </is>
      </c>
      <c r="G128" t="inlineStr">
        <is>
          <t>ANEBY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46227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16.8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45978</v>
      </c>
      <c r="E130" s="1" t="n">
        <v>46227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19.6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46227</v>
      </c>
      <c r="F131" t="inlineStr">
        <is>
          <t>JÖNKÖPINGS LÄN</t>
        </is>
      </c>
      <c r="G131" t="inlineStr">
        <is>
          <t>ANEBY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46227</v>
      </c>
      <c r="F132" t="inlineStr">
        <is>
          <t>JÖNKÖPINGS LÄN</t>
        </is>
      </c>
      <c r="G132" t="inlineStr">
        <is>
          <t>ANEBY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46227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46227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46227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45982</v>
      </c>
      <c r="E136" s="1" t="n">
        <v>46227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46227</v>
      </c>
      <c r="F137" t="inlineStr">
        <is>
          <t>JÖNKÖPINGS LÄN</t>
        </is>
      </c>
      <c r="G137" t="inlineStr">
        <is>
          <t>ANEBY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46227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46227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46227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46227</v>
      </c>
      <c r="F141" t="inlineStr">
        <is>
          <t>JÖNKÖPINGS LÄN</t>
        </is>
      </c>
      <c r="G141" t="inlineStr">
        <is>
          <t>ANEBY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46227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46227</v>
      </c>
      <c r="F143" t="inlineStr">
        <is>
          <t>JÖNKÖPINGS LÄN</t>
        </is>
      </c>
      <c r="G143" t="inlineStr">
        <is>
          <t>ANEBY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46227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46227</v>
      </c>
      <c r="F145" t="inlineStr">
        <is>
          <t>JÖNKÖPINGS LÄN</t>
        </is>
      </c>
      <c r="G145" t="inlineStr">
        <is>
          <t>ANEBY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45586</v>
      </c>
      <c r="E146" s="1" t="n">
        <v>46227</v>
      </c>
      <c r="F146" t="inlineStr">
        <is>
          <t>JÖNKÖPINGS LÄN</t>
        </is>
      </c>
      <c r="G146" t="inlineStr">
        <is>
          <t>ANEBY</t>
        </is>
      </c>
      <c r="H146" t="inlineStr">
        <is>
          <t>Övriga Aktiebolag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46227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45911</v>
      </c>
      <c r="E148" s="1" t="n">
        <v>46227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46227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46227</v>
      </c>
      <c r="F150" t="inlineStr">
        <is>
          <t>JÖNKÖPINGS LÄN</t>
        </is>
      </c>
      <c r="G150" t="inlineStr">
        <is>
          <t>ANEBY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46227</v>
      </c>
      <c r="F151" t="inlineStr">
        <is>
          <t>JÖNKÖPINGS LÄN</t>
        </is>
      </c>
      <c r="G151" t="inlineStr">
        <is>
          <t>ANEBY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46227</v>
      </c>
      <c r="F152" t="inlineStr">
        <is>
          <t>JÖNKÖPINGS LÄN</t>
        </is>
      </c>
      <c r="G152" t="inlineStr">
        <is>
          <t>ANEBY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46227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45727</v>
      </c>
      <c r="E154" s="1" t="n">
        <v>46227</v>
      </c>
      <c r="F154" t="inlineStr">
        <is>
          <t>JÖNKÖPINGS LÄN</t>
        </is>
      </c>
      <c r="G154" t="inlineStr">
        <is>
          <t>ANEBY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46227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46227</v>
      </c>
      <c r="F156" t="inlineStr">
        <is>
          <t>JÖNKÖPINGS LÄN</t>
        </is>
      </c>
      <c r="G156" t="inlineStr">
        <is>
          <t>ANEBY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46227</v>
      </c>
      <c r="F157" t="inlineStr">
        <is>
          <t>JÖNKÖPINGS LÄN</t>
        </is>
      </c>
      <c r="G157" t="inlineStr">
        <is>
          <t>ANEBY</t>
        </is>
      </c>
      <c r="H157" t="inlineStr">
        <is>
          <t>Kyrkan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45617</v>
      </c>
      <c r="E158" s="1" t="n">
        <v>46227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46227</v>
      </c>
      <c r="F159" t="inlineStr">
        <is>
          <t>JÖNKÖPINGS LÄN</t>
        </is>
      </c>
      <c r="G159" t="inlineStr">
        <is>
          <t>ANEBY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46227</v>
      </c>
      <c r="F160" t="inlineStr">
        <is>
          <t>JÖNKÖPINGS LÄN</t>
        </is>
      </c>
      <c r="G160" t="inlineStr">
        <is>
          <t>ANEBY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46227</v>
      </c>
      <c r="F161" t="inlineStr">
        <is>
          <t>JÖNKÖPINGS LÄN</t>
        </is>
      </c>
      <c r="G161" t="inlineStr">
        <is>
          <t>ANEBY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45020</v>
      </c>
      <c r="E162" s="1" t="n">
        <v>46227</v>
      </c>
      <c r="F162" t="inlineStr">
        <is>
          <t>JÖNKÖPINGS LÄN</t>
        </is>
      </c>
      <c r="G162" t="inlineStr">
        <is>
          <t>ANEBY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46227</v>
      </c>
      <c r="F163" t="inlineStr">
        <is>
          <t>JÖNKÖPINGS LÄN</t>
        </is>
      </c>
      <c r="G163" t="inlineStr">
        <is>
          <t>ANEBY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46227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46227</v>
      </c>
      <c r="F165" t="inlineStr">
        <is>
          <t>JÖNKÖPINGS LÄN</t>
        </is>
      </c>
      <c r="G165" t="inlineStr">
        <is>
          <t>ANEBY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46227</v>
      </c>
      <c r="F166" t="inlineStr">
        <is>
          <t>JÖNKÖPINGS LÄN</t>
        </is>
      </c>
      <c r="G166" t="inlineStr">
        <is>
          <t>ANEBY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46227</v>
      </c>
      <c r="F167" t="inlineStr">
        <is>
          <t>JÖNKÖPINGS LÄN</t>
        </is>
      </c>
      <c r="G167" t="inlineStr">
        <is>
          <t>ANEBY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46227</v>
      </c>
      <c r="F168" t="inlineStr">
        <is>
          <t>JÖNKÖPINGS LÄN</t>
        </is>
      </c>
      <c r="G168" t="inlineStr">
        <is>
          <t>ANEBY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45468</v>
      </c>
      <c r="E169" s="1" t="n">
        <v>46227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46227</v>
      </c>
      <c r="F170" t="inlineStr">
        <is>
          <t>JÖNKÖPINGS LÄN</t>
        </is>
      </c>
      <c r="G170" t="inlineStr">
        <is>
          <t>ANEBY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46227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46227</v>
      </c>
      <c r="F172" t="inlineStr">
        <is>
          <t>JÖNKÖPINGS LÄN</t>
        </is>
      </c>
      <c r="G172" t="inlineStr">
        <is>
          <t>ANEBY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44705</v>
      </c>
      <c r="E173" s="1" t="n">
        <v>46227</v>
      </c>
      <c r="F173" t="inlineStr">
        <is>
          <t>JÖNKÖPINGS LÄN</t>
        </is>
      </c>
      <c r="G173" t="inlineStr">
        <is>
          <t>ANEBY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46227</v>
      </c>
      <c r="F174" t="inlineStr">
        <is>
          <t>JÖNKÖPINGS LÄN</t>
        </is>
      </c>
      <c r="G174" t="inlineStr">
        <is>
          <t>ANEBY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46020</v>
      </c>
      <c r="E175" s="1" t="n">
        <v>46227</v>
      </c>
      <c r="F175" t="inlineStr">
        <is>
          <t>JÖNKÖPINGS LÄN</t>
        </is>
      </c>
      <c r="G175" t="inlineStr">
        <is>
          <t>ANEBY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46227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46021</v>
      </c>
      <c r="E177" s="1" t="n">
        <v>46227</v>
      </c>
      <c r="F177" t="inlineStr">
        <is>
          <t>JÖNKÖPINGS LÄN</t>
        </is>
      </c>
      <c r="G177" t="inlineStr">
        <is>
          <t>ANEBY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46021</v>
      </c>
      <c r="E178" s="1" t="n">
        <v>46227</v>
      </c>
      <c r="F178" t="inlineStr">
        <is>
          <t>JÖNKÖPINGS LÄN</t>
        </is>
      </c>
      <c r="G178" t="inlineStr">
        <is>
          <t>ANEBY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43613-2023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45184</v>
      </c>
      <c r="E179" s="1" t="n">
        <v>46227</v>
      </c>
      <c r="F179" t="inlineStr">
        <is>
          <t>JÖNKÖPINGS LÄN</t>
        </is>
      </c>
      <c r="G179" t="inlineStr">
        <is>
          <t>ANEBY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46227</v>
      </c>
      <c r="F180" t="inlineStr">
        <is>
          <t>JÖNKÖPINGS LÄN</t>
        </is>
      </c>
      <c r="G180" t="inlineStr">
        <is>
          <t>ANEBY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57174-2021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46227</v>
      </c>
      <c r="F181" t="inlineStr">
        <is>
          <t>JÖNKÖPINGS LÄN</t>
        </is>
      </c>
      <c r="G181" t="inlineStr">
        <is>
          <t>ANEBY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23349-2023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45076</v>
      </c>
      <c r="E182" s="1" t="n">
        <v>46227</v>
      </c>
      <c r="F182" t="inlineStr">
        <is>
          <t>JÖNKÖPINGS LÄN</t>
        </is>
      </c>
      <c r="G182" t="inlineStr">
        <is>
          <t>ANEBY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46227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46227</v>
      </c>
      <c r="F184" t="inlineStr">
        <is>
          <t>JÖNKÖPINGS LÄN</t>
        </is>
      </c>
      <c r="G184" t="inlineStr">
        <is>
          <t>ANEBY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46227</v>
      </c>
      <c r="F185" t="inlineStr">
        <is>
          <t>JÖNKÖPINGS LÄN</t>
        </is>
      </c>
      <c r="G185" t="inlineStr">
        <is>
          <t>ANEBY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45653</v>
      </c>
      <c r="E186" s="1" t="n">
        <v>46227</v>
      </c>
      <c r="F186" t="inlineStr">
        <is>
          <t>JÖNKÖPINGS LÄN</t>
        </is>
      </c>
      <c r="G186" t="inlineStr">
        <is>
          <t>ANEBY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46227</v>
      </c>
      <c r="F187" t="inlineStr">
        <is>
          <t>JÖNKÖPINGS LÄN</t>
        </is>
      </c>
      <c r="G187" t="inlineStr">
        <is>
          <t>ANEBY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46227</v>
      </c>
      <c r="F188" t="inlineStr">
        <is>
          <t>JÖNKÖPINGS LÄN</t>
        </is>
      </c>
      <c r="G188" t="inlineStr">
        <is>
          <t>ANEBY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46227</v>
      </c>
      <c r="F189" t="inlineStr">
        <is>
          <t>JÖNKÖPINGS LÄN</t>
        </is>
      </c>
      <c r="G189" t="inlineStr">
        <is>
          <t>ANEBY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46227</v>
      </c>
      <c r="F190" t="inlineStr">
        <is>
          <t>JÖNKÖPINGS LÄN</t>
        </is>
      </c>
      <c r="G190" t="inlineStr">
        <is>
          <t>ANEBY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45033</v>
      </c>
      <c r="E191" s="1" t="n">
        <v>46227</v>
      </c>
      <c r="F191" t="inlineStr">
        <is>
          <t>JÖNKÖPINGS LÄN</t>
        </is>
      </c>
      <c r="G191" t="inlineStr">
        <is>
          <t>ANEBY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45772</v>
      </c>
      <c r="E192" s="1" t="n">
        <v>46227</v>
      </c>
      <c r="F192" t="inlineStr">
        <is>
          <t>JÖNKÖPINGS LÄN</t>
        </is>
      </c>
      <c r="G192" t="inlineStr">
        <is>
          <t>ANEBY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46227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46227</v>
      </c>
      <c r="F194" t="inlineStr">
        <is>
          <t>JÖNKÖPINGS LÄN</t>
        </is>
      </c>
      <c r="G194" t="inlineStr">
        <is>
          <t>ANEBY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44606</v>
      </c>
      <c r="E195" s="1" t="n">
        <v>46227</v>
      </c>
      <c r="F195" t="inlineStr">
        <is>
          <t>JÖNKÖPINGS LÄN</t>
        </is>
      </c>
      <c r="G195" t="inlineStr">
        <is>
          <t>ANEBY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45016</v>
      </c>
      <c r="E196" s="1" t="n">
        <v>46227</v>
      </c>
      <c r="F196" t="inlineStr">
        <is>
          <t>JÖNKÖPINGS LÄN</t>
        </is>
      </c>
      <c r="G196" t="inlineStr">
        <is>
          <t>ANEBY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23354-2023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45076</v>
      </c>
      <c r="E197" s="1" t="n">
        <v>46227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46227</v>
      </c>
      <c r="F198" t="inlineStr">
        <is>
          <t>JÖNKÖPINGS LÄN</t>
        </is>
      </c>
      <c r="G198" t="inlineStr">
        <is>
          <t>ANEBY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21026-2024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45439</v>
      </c>
      <c r="E199" s="1" t="n">
        <v>46227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46227</v>
      </c>
      <c r="F200" t="inlineStr">
        <is>
          <t>JÖNKÖPINGS LÄN</t>
        </is>
      </c>
      <c r="G200" t="inlineStr">
        <is>
          <t>ANEBY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6827-2026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46057</v>
      </c>
      <c r="E201" s="1" t="n">
        <v>46227</v>
      </c>
      <c r="F201" t="inlineStr">
        <is>
          <t>JÖNKÖPINGS LÄN</t>
        </is>
      </c>
      <c r="G201" t="inlineStr">
        <is>
          <t>ANEBY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46227</v>
      </c>
      <c r="F202" t="inlineStr">
        <is>
          <t>JÖNKÖPINGS LÄN</t>
        </is>
      </c>
      <c r="G202" t="inlineStr">
        <is>
          <t>ANEBY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7263-2026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46058</v>
      </c>
      <c r="E203" s="1" t="n">
        <v>46227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46227</v>
      </c>
      <c r="F204" t="inlineStr">
        <is>
          <t>JÖNKÖPINGS LÄN</t>
        </is>
      </c>
      <c r="G204" t="inlineStr">
        <is>
          <t>ANEBY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46227</v>
      </c>
      <c r="F205" t="inlineStr">
        <is>
          <t>JÖNKÖPINGS LÄN</t>
        </is>
      </c>
      <c r="G205" t="inlineStr">
        <is>
          <t>ANEBY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46227</v>
      </c>
      <c r="F206" t="inlineStr">
        <is>
          <t>JÖNKÖPINGS LÄN</t>
        </is>
      </c>
      <c r="G206" t="inlineStr">
        <is>
          <t>ANEBY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46227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45028</v>
      </c>
      <c r="E208" s="1" t="n">
        <v>46227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46227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46227</v>
      </c>
      <c r="F210" t="inlineStr">
        <is>
          <t>JÖNKÖPINGS LÄN</t>
        </is>
      </c>
      <c r="G210" t="inlineStr">
        <is>
          <t>ANEBY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46227</v>
      </c>
      <c r="F211" t="inlineStr">
        <is>
          <t>JÖNKÖPINGS LÄN</t>
        </is>
      </c>
      <c r="G211" t="inlineStr">
        <is>
          <t>ANEBY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51185-2021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46227</v>
      </c>
      <c r="F212" t="inlineStr">
        <is>
          <t>JÖNKÖPINGS LÄN</t>
        </is>
      </c>
      <c r="G212" t="inlineStr">
        <is>
          <t>ANEBY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46227</v>
      </c>
      <c r="F213" t="inlineStr">
        <is>
          <t>JÖNKÖPINGS LÄN</t>
        </is>
      </c>
      <c r="G213" t="inlineStr">
        <is>
          <t>ANEBY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45089</v>
      </c>
      <c r="E214" s="1" t="n">
        <v>46227</v>
      </c>
      <c r="F214" t="inlineStr">
        <is>
          <t>JÖNKÖPINGS LÄN</t>
        </is>
      </c>
      <c r="G214" t="inlineStr">
        <is>
          <t>ANEBY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46227</v>
      </c>
      <c r="F215" t="inlineStr">
        <is>
          <t>JÖNKÖPINGS LÄN</t>
        </is>
      </c>
      <c r="G215" t="inlineStr">
        <is>
          <t>ANEBY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46227</v>
      </c>
      <c r="F216" t="inlineStr">
        <is>
          <t>JÖNKÖPINGS LÄN</t>
        </is>
      </c>
      <c r="G216" t="inlineStr">
        <is>
          <t>ANEBY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46227</v>
      </c>
      <c r="F217" t="inlineStr">
        <is>
          <t>JÖNKÖPINGS LÄN</t>
        </is>
      </c>
      <c r="G217" t="inlineStr">
        <is>
          <t>ANEBY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45007</v>
      </c>
      <c r="E218" s="1" t="n">
        <v>46227</v>
      </c>
      <c r="F218" t="inlineStr">
        <is>
          <t>JÖNKÖPINGS LÄN</t>
        </is>
      </c>
      <c r="G218" t="inlineStr">
        <is>
          <t>ANEBY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46227</v>
      </c>
      <c r="F219" t="inlineStr">
        <is>
          <t>JÖNKÖPINGS LÄN</t>
        </is>
      </c>
      <c r="G219" t="inlineStr">
        <is>
          <t>ANEBY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59507-2022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44900</v>
      </c>
      <c r="E220" s="1" t="n">
        <v>46227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46227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46227</v>
      </c>
      <c r="F222" t="inlineStr">
        <is>
          <t>JÖNKÖPINGS LÄN</t>
        </is>
      </c>
      <c r="G222" t="inlineStr">
        <is>
          <t>ANEBY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44481</v>
      </c>
      <c r="E223" s="1" t="n">
        <v>46227</v>
      </c>
      <c r="F223" t="inlineStr">
        <is>
          <t>JÖNKÖPINGS LÄN</t>
        </is>
      </c>
      <c r="G223" t="inlineStr">
        <is>
          <t>ANEBY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44959</v>
      </c>
      <c r="E224" s="1" t="n">
        <v>46227</v>
      </c>
      <c r="F224" t="inlineStr">
        <is>
          <t>JÖNKÖPINGS LÄN</t>
        </is>
      </c>
      <c r="G224" t="inlineStr">
        <is>
          <t>ANEBY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46227</v>
      </c>
      <c r="F225" t="inlineStr">
        <is>
          <t>JÖNKÖPINGS LÄN</t>
        </is>
      </c>
      <c r="G225" t="inlineStr">
        <is>
          <t>ANEBY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46227</v>
      </c>
      <c r="F226" t="inlineStr">
        <is>
          <t>JÖNKÖPINGS LÄN</t>
        </is>
      </c>
      <c r="G226" t="inlineStr">
        <is>
          <t>ANEBY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45122</v>
      </c>
      <c r="E227" s="1" t="n">
        <v>46227</v>
      </c>
      <c r="F227" t="inlineStr">
        <is>
          <t>JÖNKÖPINGS LÄN</t>
        </is>
      </c>
      <c r="G227" t="inlineStr">
        <is>
          <t>ANEBY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46227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46227</v>
      </c>
      <c r="F229" t="inlineStr">
        <is>
          <t>JÖNKÖPINGS LÄN</t>
        </is>
      </c>
      <c r="G229" t="inlineStr">
        <is>
          <t>ANEBY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46227</v>
      </c>
      <c r="F230" t="inlineStr">
        <is>
          <t>JÖNKÖPINGS LÄN</t>
        </is>
      </c>
      <c r="G230" t="inlineStr">
        <is>
          <t>ANEBY</t>
        </is>
      </c>
      <c r="H230" t="inlineStr">
        <is>
          <t>Övriga Aktiebolag</t>
        </is>
      </c>
      <c r="I230" t="n">
        <v>20.7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46227</v>
      </c>
      <c r="F231" t="inlineStr">
        <is>
          <t>JÖNKÖPINGS LÄN</t>
        </is>
      </c>
      <c r="G231" t="inlineStr">
        <is>
          <t>ANEBY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46227</v>
      </c>
      <c r="F232" t="inlineStr">
        <is>
          <t>JÖNKÖPINGS LÄN</t>
        </is>
      </c>
      <c r="G232" t="inlineStr">
        <is>
          <t>ANEBY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46104</v>
      </c>
      <c r="E233" s="1" t="n">
        <v>46227</v>
      </c>
      <c r="F233" t="inlineStr">
        <is>
          <t>JÖNKÖPINGS LÄN</t>
        </is>
      </c>
      <c r="G233" t="inlineStr">
        <is>
          <t>ANEBY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46227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46227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46227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46227</v>
      </c>
      <c r="F237" t="inlineStr">
        <is>
          <t>JÖNKÖPINGS LÄN</t>
        </is>
      </c>
      <c r="G237" t="inlineStr">
        <is>
          <t>ANEBY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46227</v>
      </c>
      <c r="F238" t="inlineStr">
        <is>
          <t>JÖNKÖPINGS LÄN</t>
        </is>
      </c>
      <c r="G238" t="inlineStr">
        <is>
          <t>ANEBY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46227</v>
      </c>
      <c r="F239" t="inlineStr">
        <is>
          <t>JÖNKÖPINGS LÄN</t>
        </is>
      </c>
      <c r="G239" t="inlineStr">
        <is>
          <t>ANEBY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46227</v>
      </c>
      <c r="F240" t="inlineStr">
        <is>
          <t>JÖNKÖPINGS LÄN</t>
        </is>
      </c>
      <c r="G240" t="inlineStr">
        <is>
          <t>ANEBY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38794-2023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45161</v>
      </c>
      <c r="E241" s="1" t="n">
        <v>46227</v>
      </c>
      <c r="F241" t="inlineStr">
        <is>
          <t>JÖNKÖPINGS LÄN</t>
        </is>
      </c>
      <c r="G241" t="inlineStr">
        <is>
          <t>ANEBY</t>
        </is>
      </c>
      <c r="H241" t="inlineStr">
        <is>
          <t>Övriga Aktiebolag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45468</v>
      </c>
      <c r="E242" s="1" t="n">
        <v>46227</v>
      </c>
      <c r="F242" t="inlineStr">
        <is>
          <t>JÖNKÖPINGS LÄN</t>
        </is>
      </c>
      <c r="G242" t="inlineStr">
        <is>
          <t>ANEBY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46227</v>
      </c>
      <c r="F243" t="inlineStr">
        <is>
          <t>JÖNKÖPINGS LÄN</t>
        </is>
      </c>
      <c r="G243" t="inlineStr">
        <is>
          <t>ANEBY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45552</v>
      </c>
      <c r="E244" s="1" t="n">
        <v>46227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46227</v>
      </c>
      <c r="F245" t="inlineStr">
        <is>
          <t>JÖNKÖPINGS LÄN</t>
        </is>
      </c>
      <c r="G245" t="inlineStr">
        <is>
          <t>ANEBY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51160-2021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44461</v>
      </c>
      <c r="E246" s="1" t="n">
        <v>46227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45126</v>
      </c>
      <c r="E247" s="1" t="n">
        <v>46227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46227</v>
      </c>
      <c r="F248" t="inlineStr">
        <is>
          <t>JÖNKÖPINGS LÄN</t>
        </is>
      </c>
      <c r="G248" t="inlineStr">
        <is>
          <t>ANEBY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46227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50069-2024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45600</v>
      </c>
      <c r="E250" s="1" t="n">
        <v>46227</v>
      </c>
      <c r="F250" t="inlineStr">
        <is>
          <t>JÖNKÖPINGS LÄN</t>
        </is>
      </c>
      <c r="G250" t="inlineStr">
        <is>
          <t>ANEBY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46126</v>
      </c>
      <c r="E251" s="1" t="n">
        <v>46227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54213-2024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45616</v>
      </c>
      <c r="E252" s="1" t="n">
        <v>46227</v>
      </c>
      <c r="F252" t="inlineStr">
        <is>
          <t>JÖNKÖPINGS LÄN</t>
        </is>
      </c>
      <c r="G252" t="inlineStr">
        <is>
          <t>ANEBY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46227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46227</v>
      </c>
      <c r="F254" t="inlineStr">
        <is>
          <t>JÖNKÖPINGS LÄN</t>
        </is>
      </c>
      <c r="G254" t="inlineStr">
        <is>
          <t>ANEBY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45356</v>
      </c>
      <c r="E255" s="1" t="n">
        <v>46227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45572</v>
      </c>
      <c r="E256" s="1" t="n">
        <v>46227</v>
      </c>
      <c r="F256" t="inlineStr">
        <is>
          <t>JÖNKÖPINGS LÄN</t>
        </is>
      </c>
      <c r="G256" t="inlineStr">
        <is>
          <t>ANEBY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46227</v>
      </c>
      <c r="F257" t="inlineStr">
        <is>
          <t>JÖNKÖPINGS LÄN</t>
        </is>
      </c>
      <c r="G257" t="inlineStr">
        <is>
          <t>ANEBY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45126</v>
      </c>
      <c r="E258" s="1" t="n">
        <v>46227</v>
      </c>
      <c r="F258" t="inlineStr">
        <is>
          <t>JÖNKÖPINGS LÄN</t>
        </is>
      </c>
      <c r="G258" t="inlineStr">
        <is>
          <t>ANEBY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46227</v>
      </c>
      <c r="F259" t="inlineStr">
        <is>
          <t>JÖNKÖPINGS LÄN</t>
        </is>
      </c>
      <c r="G259" t="inlineStr">
        <is>
          <t>ANEBY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46227</v>
      </c>
      <c r="F260" t="inlineStr">
        <is>
          <t>JÖNKÖPINGS LÄN</t>
        </is>
      </c>
      <c r="G260" t="inlineStr">
        <is>
          <t>ANEBY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46227</v>
      </c>
      <c r="F261" t="inlineStr">
        <is>
          <t>JÖNKÖPINGS LÄN</t>
        </is>
      </c>
      <c r="G261" t="inlineStr">
        <is>
          <t>ANEBY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46227</v>
      </c>
      <c r="F262" t="inlineStr">
        <is>
          <t>JÖNKÖPINGS LÄN</t>
        </is>
      </c>
      <c r="G262" t="inlineStr">
        <is>
          <t>ANEBY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46227</v>
      </c>
      <c r="F263" t="inlineStr">
        <is>
          <t>JÖNKÖPINGS LÄN</t>
        </is>
      </c>
      <c r="G263" t="inlineStr">
        <is>
          <t>ANEBY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46227</v>
      </c>
      <c r="F264" t="inlineStr">
        <is>
          <t>JÖNKÖPINGS LÄN</t>
        </is>
      </c>
      <c r="G264" t="inlineStr">
        <is>
          <t>ANEBY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46227</v>
      </c>
      <c r="F265" t="inlineStr">
        <is>
          <t>JÖNKÖPINGS LÄN</t>
        </is>
      </c>
      <c r="G265" t="inlineStr">
        <is>
          <t>ANEBY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45316</v>
      </c>
      <c r="E266" s="1" t="n">
        <v>46227</v>
      </c>
      <c r="F266" t="inlineStr">
        <is>
          <t>JÖNKÖPINGS LÄN</t>
        </is>
      </c>
      <c r="G266" t="inlineStr">
        <is>
          <t>ANEBY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46227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10155-2024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45364</v>
      </c>
      <c r="E268" s="1" t="n">
        <v>46227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46227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46227</v>
      </c>
      <c r="F270" t="inlineStr">
        <is>
          <t>JÖNKÖPINGS LÄN</t>
        </is>
      </c>
      <c r="G270" t="inlineStr">
        <is>
          <t>ANEBY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46227</v>
      </c>
      <c r="F271" t="inlineStr">
        <is>
          <t>JÖNKÖPINGS LÄN</t>
        </is>
      </c>
      <c r="G271" t="inlineStr">
        <is>
          <t>ANEBY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21353-2022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44705</v>
      </c>
      <c r="E272" s="1" t="n">
        <v>46227</v>
      </c>
      <c r="F272" t="inlineStr">
        <is>
          <t>JÖNKÖPINGS LÄN</t>
        </is>
      </c>
      <c r="G272" t="inlineStr">
        <is>
          <t>ANEBY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46227</v>
      </c>
      <c r="F273" t="inlineStr">
        <is>
          <t>JÖNKÖPINGS LÄN</t>
        </is>
      </c>
      <c r="G273" t="inlineStr">
        <is>
          <t>ANEBY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17380-2022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44678</v>
      </c>
      <c r="E274" s="1" t="n">
        <v>46227</v>
      </c>
      <c r="F274" t="inlineStr">
        <is>
          <t>JÖNKÖPINGS LÄN</t>
        </is>
      </c>
      <c r="G274" t="inlineStr">
        <is>
          <t>ANEBY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44623</v>
      </c>
      <c r="E275" s="1" t="n">
        <v>46227</v>
      </c>
      <c r="F275" t="inlineStr">
        <is>
          <t>JÖNKÖPINGS LÄN</t>
        </is>
      </c>
      <c r="G275" t="inlineStr">
        <is>
          <t>ANEBY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46227</v>
      </c>
      <c r="F276" t="inlineStr">
        <is>
          <t>JÖNKÖPINGS LÄN</t>
        </is>
      </c>
      <c r="G276" t="inlineStr">
        <is>
          <t>ANEBY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45404</v>
      </c>
      <c r="E277" s="1" t="n">
        <v>46227</v>
      </c>
      <c r="F277" t="inlineStr">
        <is>
          <t>JÖNKÖPINGS LÄN</t>
        </is>
      </c>
      <c r="G277" t="inlineStr">
        <is>
          <t>ANEBY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45707</v>
      </c>
      <c r="E278" s="1" t="n">
        <v>46227</v>
      </c>
      <c r="F278" t="inlineStr">
        <is>
          <t>JÖNKÖPINGS LÄN</t>
        </is>
      </c>
      <c r="G278" t="inlineStr">
        <is>
          <t>ANEBY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44700</v>
      </c>
      <c r="E279" s="1" t="n">
        <v>46227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44671</v>
      </c>
      <c r="E280" s="1" t="n">
        <v>46227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26769-2022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46227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23557-2022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44721</v>
      </c>
      <c r="E282" s="1" t="n">
        <v>46227</v>
      </c>
      <c r="F282" t="inlineStr">
        <is>
          <t>JÖNKÖPINGS LÄN</t>
        </is>
      </c>
      <c r="G282" t="inlineStr">
        <is>
          <t>ANEBY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46227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46227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45762</v>
      </c>
      <c r="E285" s="1" t="n">
        <v>46227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46227</v>
      </c>
      <c r="F286" t="inlineStr">
        <is>
          <t>JÖNKÖPINGS LÄN</t>
        </is>
      </c>
      <c r="G286" t="inlineStr">
        <is>
          <t>ANEBY</t>
        </is>
      </c>
      <c r="I286" t="n">
        <v>17.9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21356-2026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46147</v>
      </c>
      <c r="E287" s="1" t="n">
        <v>46227</v>
      </c>
      <c r="F287" t="inlineStr">
        <is>
          <t>JÖNKÖPINGS LÄN</t>
        </is>
      </c>
      <c r="G287" t="inlineStr">
        <is>
          <t>ANEBY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46227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46227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46227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46227</v>
      </c>
      <c r="F291" t="inlineStr">
        <is>
          <t>JÖNKÖPINGS LÄN</t>
        </is>
      </c>
      <c r="G291" t="inlineStr">
        <is>
          <t>ANEBY</t>
        </is>
      </c>
      <c r="H291" t="inlineStr">
        <is>
          <t>Övriga Aktiebolag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45300</v>
      </c>
      <c r="E292" s="1" t="n">
        <v>46227</v>
      </c>
      <c r="F292" t="inlineStr">
        <is>
          <t>JÖNKÖPINGS LÄN</t>
        </is>
      </c>
      <c r="G292" t="inlineStr">
        <is>
          <t>ANEBY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19362-2025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45769</v>
      </c>
      <c r="E293" s="1" t="n">
        <v>46227</v>
      </c>
      <c r="F293" t="inlineStr">
        <is>
          <t>JÖNKÖPINGS LÄN</t>
        </is>
      </c>
      <c r="G293" t="inlineStr">
        <is>
          <t>ANEBY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46227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45304</v>
      </c>
      <c r="E295" s="1" t="n">
        <v>46227</v>
      </c>
      <c r="F295" t="inlineStr">
        <is>
          <t>JÖNKÖPINGS LÄN</t>
        </is>
      </c>
      <c r="G295" t="inlineStr">
        <is>
          <t>ANEBY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46227</v>
      </c>
      <c r="F296" t="inlineStr">
        <is>
          <t>JÖNKÖPINGS LÄN</t>
        </is>
      </c>
      <c r="G296" t="inlineStr">
        <is>
          <t>ANEBY</t>
        </is>
      </c>
      <c r="H296" t="inlineStr">
        <is>
          <t>Kyrkan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46227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46227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44847</v>
      </c>
      <c r="E299" s="1" t="n">
        <v>46227</v>
      </c>
      <c r="F299" t="inlineStr">
        <is>
          <t>JÖNKÖPINGS LÄN</t>
        </is>
      </c>
      <c r="G299" t="inlineStr">
        <is>
          <t>ANEBY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46195</v>
      </c>
      <c r="E300" s="1" t="n">
        <v>46227</v>
      </c>
      <c r="F300" t="inlineStr">
        <is>
          <t>JÖNKÖPINGS LÄN</t>
        </is>
      </c>
      <c r="G300" t="inlineStr">
        <is>
          <t>ANEBY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46227</v>
      </c>
      <c r="F301" t="inlineStr">
        <is>
          <t>JÖNKÖPINGS LÄN</t>
        </is>
      </c>
      <c r="G301" t="inlineStr">
        <is>
          <t>ANEBY</t>
        </is>
      </c>
      <c r="H301" t="inlineStr">
        <is>
          <t>Kyrkan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57170-2021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44482</v>
      </c>
      <c r="E302" s="1" t="n">
        <v>46227</v>
      </c>
      <c r="F302" t="inlineStr">
        <is>
          <t>JÖNKÖPINGS LÄN</t>
        </is>
      </c>
      <c r="G302" t="inlineStr">
        <is>
          <t>ANEBY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46227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46227</v>
      </c>
      <c r="F304" t="inlineStr">
        <is>
          <t>JÖNKÖPINGS LÄN</t>
        </is>
      </c>
      <c r="G304" t="inlineStr">
        <is>
          <t>ANEBY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46227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46227</v>
      </c>
      <c r="F306" t="inlineStr">
        <is>
          <t>JÖNKÖPINGS LÄN</t>
        </is>
      </c>
      <c r="G306" t="inlineStr">
        <is>
          <t>ANEBY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46227</v>
      </c>
      <c r="F307" t="inlineStr">
        <is>
          <t>JÖNKÖPINGS LÄN</t>
        </is>
      </c>
      <c r="G307" t="inlineStr">
        <is>
          <t>ANEBY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45198</v>
      </c>
      <c r="E308" s="1" t="n">
        <v>46227</v>
      </c>
      <c r="F308" t="inlineStr">
        <is>
          <t>JÖNKÖPINGS LÄN</t>
        </is>
      </c>
      <c r="G308" t="inlineStr">
        <is>
          <t>ANEBY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46227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44565</v>
      </c>
      <c r="E310" s="1" t="n">
        <v>46227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44985</v>
      </c>
      <c r="E311" s="1" t="n">
        <v>46227</v>
      </c>
      <c r="F311" t="inlineStr">
        <is>
          <t>JÖNKÖPINGS LÄN</t>
        </is>
      </c>
      <c r="G311" t="inlineStr">
        <is>
          <t>ANEBY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46227</v>
      </c>
      <c r="F312" t="inlineStr">
        <is>
          <t>JÖNKÖPINGS LÄN</t>
        </is>
      </c>
      <c r="G312" t="inlineStr">
        <is>
          <t>ANEBY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44957</v>
      </c>
      <c r="E313" s="1" t="n">
        <v>46227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35773-2023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45148</v>
      </c>
      <c r="E314" s="1" t="n">
        <v>46227</v>
      </c>
      <c r="F314" t="inlineStr">
        <is>
          <t>JÖNKÖPINGS LÄN</t>
        </is>
      </c>
      <c r="G314" t="inlineStr">
        <is>
          <t>ANEBY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55688-2022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44888</v>
      </c>
      <c r="E315" s="1" t="n">
        <v>46227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46227</v>
      </c>
      <c r="F316" t="inlineStr">
        <is>
          <t>JÖNKÖPINGS LÄN</t>
        </is>
      </c>
      <c r="G316" t="inlineStr">
        <is>
          <t>ANEBY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46227</v>
      </c>
      <c r="F317" t="inlineStr">
        <is>
          <t>JÖNKÖPINGS LÄN</t>
        </is>
      </c>
      <c r="G317" t="inlineStr">
        <is>
          <t>ANEBY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46227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46227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40017-2024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46227</v>
      </c>
      <c r="F320" t="inlineStr">
        <is>
          <t>JÖNKÖPINGS LÄN</t>
        </is>
      </c>
      <c r="G320" t="inlineStr">
        <is>
          <t>ANEBY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45300</v>
      </c>
      <c r="E321" s="1" t="n">
        <v>46227</v>
      </c>
      <c r="F321" t="inlineStr">
        <is>
          <t>JÖNKÖPINGS LÄN</t>
        </is>
      </c>
      <c r="G321" t="inlineStr">
        <is>
          <t>ANEBY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46227</v>
      </c>
      <c r="F322" t="inlineStr">
        <is>
          <t>JÖNKÖPINGS LÄN</t>
        </is>
      </c>
      <c r="G322" t="inlineStr">
        <is>
          <t>ANEBY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46227</v>
      </c>
      <c r="F323" t="inlineStr">
        <is>
          <t>JÖNKÖPINGS LÄN</t>
        </is>
      </c>
      <c r="G323" t="inlineStr">
        <is>
          <t>ANEBY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46227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46214</v>
      </c>
      <c r="E325" s="1" t="n">
        <v>46227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46214</v>
      </c>
      <c r="E326" s="1" t="n">
        <v>46227</v>
      </c>
      <c r="F326" t="inlineStr">
        <is>
          <t>JÖNKÖPINGS LÄN</t>
        </is>
      </c>
      <c r="G326" t="inlineStr">
        <is>
          <t>ANEBY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46214</v>
      </c>
      <c r="E327" s="1" t="n">
        <v>46227</v>
      </c>
      <c r="F327" t="inlineStr">
        <is>
          <t>JÖNKÖPINGS LÄN</t>
        </is>
      </c>
      <c r="G327" t="inlineStr">
        <is>
          <t>ANEBY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46227</v>
      </c>
      <c r="F328" t="inlineStr">
        <is>
          <t>JÖNKÖPINGS LÄN</t>
        </is>
      </c>
      <c r="G328" t="inlineStr">
        <is>
          <t>ANEBY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46227</v>
      </c>
      <c r="F329" t="inlineStr">
        <is>
          <t>JÖNKÖPINGS LÄN</t>
        </is>
      </c>
      <c r="G329" t="inlineStr">
        <is>
          <t>ANEBY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44620</v>
      </c>
      <c r="E330" s="1" t="n">
        <v>46227</v>
      </c>
      <c r="F330" t="inlineStr">
        <is>
          <t>JÖNKÖPINGS LÄN</t>
        </is>
      </c>
      <c r="G330" t="inlineStr">
        <is>
          <t>ANEBY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46227</v>
      </c>
      <c r="F331" t="inlineStr">
        <is>
          <t>JÖNKÖPINGS LÄN</t>
        </is>
      </c>
      <c r="G331" t="inlineStr">
        <is>
          <t>ANEBY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10013-2023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44985</v>
      </c>
      <c r="E332" s="1" t="n">
        <v>46227</v>
      </c>
      <c r="F332" t="inlineStr">
        <is>
          <t>JÖNKÖPINGS LÄN</t>
        </is>
      </c>
      <c r="G332" t="inlineStr">
        <is>
          <t>ANEBY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10456-2023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44981</v>
      </c>
      <c r="E333" s="1" t="n">
        <v>46227</v>
      </c>
      <c r="F333" t="inlineStr">
        <is>
          <t>JÖNKÖPINGS LÄN</t>
        </is>
      </c>
      <c r="G333" t="inlineStr">
        <is>
          <t>ANEBY</t>
        </is>
      </c>
      <c r="H333" t="inlineStr">
        <is>
          <t>Övriga Aktiebolag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46227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46224</v>
      </c>
      <c r="E335" s="1" t="n">
        <v>46227</v>
      </c>
      <c r="F335" t="inlineStr">
        <is>
          <t>JÖNKÖPINGS LÄN</t>
        </is>
      </c>
      <c r="G335" t="inlineStr">
        <is>
          <t>ANEBY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45359</v>
      </c>
      <c r="E336" s="1" t="n">
        <v>46227</v>
      </c>
      <c r="F336" t="inlineStr">
        <is>
          <t>JÖNKÖPINGS LÄN</t>
        </is>
      </c>
      <c r="G336" t="inlineStr">
        <is>
          <t>ANEBY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45146</v>
      </c>
      <c r="E337" s="1" t="n">
        <v>46227</v>
      </c>
      <c r="F337" t="inlineStr">
        <is>
          <t>JÖNKÖPINGS LÄN</t>
        </is>
      </c>
      <c r="G337" t="inlineStr">
        <is>
          <t>ANEBY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45363</v>
      </c>
      <c r="E338" s="1" t="n">
        <v>46227</v>
      </c>
      <c r="F338" t="inlineStr">
        <is>
          <t>JÖNKÖPINGS LÄN</t>
        </is>
      </c>
      <c r="G338" t="inlineStr">
        <is>
          <t>ANEBY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45378</v>
      </c>
      <c r="E339" s="1" t="n">
        <v>46227</v>
      </c>
      <c r="F339" t="inlineStr">
        <is>
          <t>JÖNKÖPINGS LÄN</t>
        </is>
      </c>
      <c r="G339" t="inlineStr">
        <is>
          <t>ANEBY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45033</v>
      </c>
      <c r="E340" s="1" t="n">
        <v>46227</v>
      </c>
      <c r="F340" t="inlineStr">
        <is>
          <t>JÖNKÖPINGS LÄN</t>
        </is>
      </c>
      <c r="G340" t="inlineStr">
        <is>
          <t>ANEBY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8811-2023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46227</v>
      </c>
      <c r="F341" t="inlineStr">
        <is>
          <t>JÖNKÖPINGS LÄN</t>
        </is>
      </c>
      <c r="G341" t="inlineStr">
        <is>
          <t>ANEBY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45412</v>
      </c>
      <c r="E342" s="1" t="n">
        <v>46227</v>
      </c>
      <c r="F342" t="inlineStr">
        <is>
          <t>JÖNKÖPINGS LÄN</t>
        </is>
      </c>
      <c r="G342" t="inlineStr">
        <is>
          <t>ANEBY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46227</v>
      </c>
      <c r="F343" t="inlineStr">
        <is>
          <t>JÖNKÖPINGS LÄN</t>
        </is>
      </c>
      <c r="G343" t="inlineStr">
        <is>
          <t>ANEBY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10360-2024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46227</v>
      </c>
      <c r="F344" t="inlineStr">
        <is>
          <t>JÖNKÖPINGS LÄN</t>
        </is>
      </c>
      <c r="G344" t="inlineStr">
        <is>
          <t>ANEBY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46227</v>
      </c>
      <c r="F345" t="inlineStr">
        <is>
          <t>JÖNKÖPINGS LÄN</t>
        </is>
      </c>
      <c r="G345" t="inlineStr">
        <is>
          <t>ANEBY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46227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46227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46227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46227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46227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46227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46227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46227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46227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46227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46227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46227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46227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46227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46227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2026-07-24T01:51:26Z</dcterms:created>
  <dcterms:modified xmlns:dcterms="http://purl.org/dc/terms/" xmlns:xsi="http://www.w3.org/2001/XMLSchema-instance" xsi:type="dcterms:W3CDTF">2026-07-24T01:51:26Z</dcterms:modified>
</cp:coreProperties>
</file>