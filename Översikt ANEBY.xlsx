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46256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46256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46256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46256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46256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46256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46256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46256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46256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46256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46256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46256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8117-2025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45707</v>
      </c>
      <c r="E27" s="1" t="n">
        <v>46256</v>
      </c>
      <c r="F27" t="inlineStr">
        <is>
          <t>JÖNKÖPINGS LÄN</t>
        </is>
      </c>
      <c r="G27" t="inlineStr">
        <is>
          <t>ANEBY</t>
        </is>
      </c>
      <c r="I27" t="n">
        <v>2.3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Enkelbeckasin</t>
        </is>
      </c>
      <c r="W27">
        <f>HYPERLINK("https://klasma.github.io/Logging_0604/artfynd/A 8117-2025 artfynd.xlsx", "A 8117-2025")</f>
        <v/>
      </c>
      <c r="X27">
        <f>HYPERLINK("https://klasma.github.io/Logging_0604/kartor/A 8117-2025 karta.png", "A 8117-2025")</f>
        <v/>
      </c>
      <c r="Y27">
        <f>HYPERLINK("https://klasma.github.io/Logging_0604/kartor_geotiff/A 8117-2025 georefererad karta.tif", "A 8117-2025")</f>
        <v/>
      </c>
      <c r="AA27">
        <f>HYPERLINK("https://klasma.github.io/Logging_0604/klagomål/A 8117-2025 FSC-klagomål.docx", "A 8117-2025")</f>
        <v/>
      </c>
      <c r="AB27">
        <f>HYPERLINK("https://klasma.github.io/Logging_0604/klagomålsmail/A 8117-2025 FSC-klagomål mail.docx", "A 8117-2025")</f>
        <v/>
      </c>
      <c r="AC27">
        <f>HYPERLINK("https://klasma.github.io/Logging_0604/tillsyn/A 8117-2025 tillsynsbegäran.docx", "A 8117-2025")</f>
        <v/>
      </c>
      <c r="AD27">
        <f>HYPERLINK("https://klasma.github.io/Logging_0604/tillsynsmail/A 8117-2025 tillsynsbegäran mail.docx", "A 8117-2025")</f>
        <v/>
      </c>
      <c r="AE27">
        <f>HYPERLINK("https://klasma.github.io/Logging_0604/fåglar/A 8117-2025 prioriterade fågelarter.docx", "A 8117-2025")</f>
        <v/>
      </c>
    </row>
    <row r="28" ht="15" customHeight="1">
      <c r="A28" t="inlineStr">
        <is>
          <t>A 24863-2024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46256</v>
      </c>
      <c r="F28" t="inlineStr">
        <is>
          <t>JÖNKÖPINGS LÄN</t>
        </is>
      </c>
      <c r="G28" t="inlineStr">
        <is>
          <t>ANEBY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HYPERLINK("https://klasma.github.io/Logging_0604/artfynd/A 24863-2024 artfynd.xlsx", "A 24863-2024")</f>
        <v/>
      </c>
      <c r="X28">
        <f>HYPERLINK("https://klasma.github.io/Logging_0604/kartor/A 24863-2024 karta.png", "A 24863-2024")</f>
        <v/>
      </c>
      <c r="Y28">
        <f>HYPERLINK("https://klasma.github.io/Logging_0604/kartor_geotiff/A 24863-2024 georefererad karta.tif", "A 24863-2024")</f>
        <v/>
      </c>
      <c r="AA28">
        <f>HYPERLINK("https://klasma.github.io/Logging_0604/klagomål/A 24863-2024 FSC-klagomål.docx", "A 24863-2024")</f>
        <v/>
      </c>
      <c r="AB28">
        <f>HYPERLINK("https://klasma.github.io/Logging_0604/klagomålsmail/A 24863-2024 FSC-klagomål mail.docx", "A 24863-2024")</f>
        <v/>
      </c>
      <c r="AC28">
        <f>HYPERLINK("https://klasma.github.io/Logging_0604/tillsyn/A 24863-2024 tillsynsbegäran.docx", "A 24863-2024")</f>
        <v/>
      </c>
      <c r="AD28">
        <f>HYPERLINK("https://klasma.github.io/Logging_0604/tillsynsmail/A 24863-2024 tillsynsbegäran mail.docx", "A 24863-2024")</f>
        <v/>
      </c>
      <c r="AE28">
        <f>HYPERLINK("https://klasma.github.io/Logging_0604/fåglar/A 24863-2024 prioriterade fågelarter.docx", "A 24863-2024")</f>
        <v/>
      </c>
    </row>
    <row r="29" ht="15" customHeight="1">
      <c r="A29" t="inlineStr">
        <is>
          <t>A 10358-2024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45365</v>
      </c>
      <c r="E29" s="1" t="n">
        <v>46256</v>
      </c>
      <c r="F29" t="inlineStr">
        <is>
          <t>JÖNKÖPINGS LÄN</t>
        </is>
      </c>
      <c r="G29" t="inlineStr">
        <is>
          <t>ANEBY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HYPERLINK("https://klasma.github.io/Logging_0604/artfynd/A 10358-2024 artfynd.xlsx", "A 10358-2024")</f>
        <v/>
      </c>
      <c r="X29">
        <f>HYPERLINK("https://klasma.github.io/Logging_0604/kartor/A 10358-2024 karta.png", "A 10358-2024")</f>
        <v/>
      </c>
      <c r="Y29">
        <f>HYPERLINK("https://klasma.github.io/Logging_0604/kartor_geotiff/A 10358-2024 georefererad karta.tif", "A 10358-2024")</f>
        <v/>
      </c>
      <c r="AA29">
        <f>HYPERLINK("https://klasma.github.io/Logging_0604/klagomål/A 10358-2024 FSC-klagomål.docx", "A 10358-2024")</f>
        <v/>
      </c>
      <c r="AB29">
        <f>HYPERLINK("https://klasma.github.io/Logging_0604/klagomålsmail/A 10358-2024 FSC-klagomål mail.docx", "A 10358-2024")</f>
        <v/>
      </c>
      <c r="AC29">
        <f>HYPERLINK("https://klasma.github.io/Logging_0604/tillsyn/A 10358-2024 tillsynsbegäran.docx", "A 10358-2024")</f>
        <v/>
      </c>
      <c r="AD29">
        <f>HYPERLINK("https://klasma.github.io/Logging_0604/tillsynsmail/A 10358-2024 tillsynsbegäran mail.docx", "A 10358-2024")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46256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46256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46256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46256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46256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46256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46256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46256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25875-2024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45467</v>
      </c>
      <c r="E38" s="1" t="n">
        <v>46256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Kungsfågel</t>
        </is>
      </c>
      <c r="W38">
        <f>HYPERLINK("https://klasma.github.io/Logging_0604/artfynd/A 25875-2024 artfynd.xlsx", "A 25875-2024")</f>
        <v/>
      </c>
      <c r="X38">
        <f>HYPERLINK("https://klasma.github.io/Logging_0604/kartor/A 25875-2024 karta.png", "A 25875-2024")</f>
        <v/>
      </c>
      <c r="Y38">
        <f>HYPERLINK("https://klasma.github.io/Logging_0604/kartor_geotiff/A 25875-2024 georefererad karta.tif", "A 25875-2024")</f>
        <v/>
      </c>
      <c r="AA38">
        <f>HYPERLINK("https://klasma.github.io/Logging_0604/klagomål/A 25875-2024 FSC-klagomål.docx", "A 25875-2024")</f>
        <v/>
      </c>
      <c r="AB38">
        <f>HYPERLINK("https://klasma.github.io/Logging_0604/klagomålsmail/A 25875-2024 FSC-klagomål mail.docx", "A 25875-2024")</f>
        <v/>
      </c>
      <c r="AC38">
        <f>HYPERLINK("https://klasma.github.io/Logging_0604/tillsyn/A 25875-2024 tillsynsbegäran.docx", "A 25875-2024")</f>
        <v/>
      </c>
      <c r="AD38">
        <f>HYPERLINK("https://klasma.github.io/Logging_0604/tillsynsmail/A 25875-2024 tillsynsbegäran mail.docx", "A 25875-2024")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46256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46256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46256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46256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46256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46256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46256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46256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46256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46256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46256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46256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46256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46256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46256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46256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46256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46256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46256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46256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46256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46256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46256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46256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46256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46256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46256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46256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46256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46256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46256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46256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35555-2024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45531</v>
      </c>
      <c r="E72" s="1" t="n">
        <v>46256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45691</v>
      </c>
      <c r="E73" s="1" t="n">
        <v>46256</v>
      </c>
      <c r="F73" t="inlineStr">
        <is>
          <t>JÖNKÖPINGS LÄN</t>
        </is>
      </c>
      <c r="G73" t="inlineStr">
        <is>
          <t>ANEBY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45159</v>
      </c>
      <c r="E74" s="1" t="n">
        <v>46256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46256</v>
      </c>
      <c r="F75" t="inlineStr">
        <is>
          <t>JÖNKÖPINGS LÄN</t>
        </is>
      </c>
      <c r="G75" t="inlineStr">
        <is>
          <t>ANEBY</t>
        </is>
      </c>
      <c r="H75" t="inlineStr">
        <is>
          <t>Övriga Aktiebolag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46256</v>
      </c>
      <c r="F76" t="inlineStr">
        <is>
          <t>JÖNKÖPINGS LÄN</t>
        </is>
      </c>
      <c r="G76" t="inlineStr">
        <is>
          <t>ANEBY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39694-2024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45552</v>
      </c>
      <c r="E77" s="1" t="n">
        <v>46256</v>
      </c>
      <c r="F77" t="inlineStr">
        <is>
          <t>JÖNKÖPINGS LÄN</t>
        </is>
      </c>
      <c r="G77" t="inlineStr">
        <is>
          <t>ANEBY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46256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52267-2024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46256</v>
      </c>
      <c r="F79" t="inlineStr">
        <is>
          <t>JÖNKÖPINGS LÄN</t>
        </is>
      </c>
      <c r="G79" t="inlineStr">
        <is>
          <t>ANEBY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46256</v>
      </c>
      <c r="F80" t="inlineStr">
        <is>
          <t>JÖNKÖPINGS LÄN</t>
        </is>
      </c>
      <c r="G80" t="inlineStr">
        <is>
          <t>ANEBY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46256</v>
      </c>
      <c r="F81" t="inlineStr">
        <is>
          <t>JÖNKÖPINGS LÄN</t>
        </is>
      </c>
      <c r="G81" t="inlineStr">
        <is>
          <t>ANEBY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46256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45840</v>
      </c>
      <c r="E83" s="1" t="n">
        <v>46256</v>
      </c>
      <c r="F83" t="inlineStr">
        <is>
          <t>JÖNKÖPINGS LÄN</t>
        </is>
      </c>
      <c r="G83" t="inlineStr">
        <is>
          <t>ANEBY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44959</v>
      </c>
      <c r="E84" s="1" t="n">
        <v>46256</v>
      </c>
      <c r="F84" t="inlineStr">
        <is>
          <t>JÖNKÖPINGS LÄN</t>
        </is>
      </c>
      <c r="G84" t="inlineStr">
        <is>
          <t>ANEBY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46256</v>
      </c>
      <c r="F85" t="inlineStr">
        <is>
          <t>JÖNKÖPINGS LÄN</t>
        </is>
      </c>
      <c r="G85" t="inlineStr">
        <is>
          <t>ANEBY</t>
        </is>
      </c>
      <c r="H85" t="inlineStr">
        <is>
          <t>Kyrkan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45359</v>
      </c>
      <c r="E86" s="1" t="n">
        <v>46256</v>
      </c>
      <c r="F86" t="inlineStr">
        <is>
          <t>JÖNKÖPINGS LÄN</t>
        </is>
      </c>
      <c r="G86" t="inlineStr">
        <is>
          <t>ANEBY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46256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46256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46256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44888</v>
      </c>
      <c r="E90" s="1" t="n">
        <v>46256</v>
      </c>
      <c r="F90" t="inlineStr">
        <is>
          <t>JÖNKÖPINGS LÄN</t>
        </is>
      </c>
      <c r="G90" t="inlineStr">
        <is>
          <t>ANEBY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45007</v>
      </c>
      <c r="E91" s="1" t="n">
        <v>46256</v>
      </c>
      <c r="F91" t="inlineStr">
        <is>
          <t>JÖNKÖPINGS LÄN</t>
        </is>
      </c>
      <c r="G91" t="inlineStr">
        <is>
          <t>ANEBY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45806-2023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46256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46256</v>
      </c>
      <c r="F93" t="inlineStr">
        <is>
          <t>JÖNKÖPINGS LÄN</t>
        </is>
      </c>
      <c r="G93" t="inlineStr">
        <is>
          <t>ANEBY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45468</v>
      </c>
      <c r="E94" s="1" t="n">
        <v>46256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46256</v>
      </c>
      <c r="F95" t="inlineStr">
        <is>
          <t>JÖNKÖPINGS LÄN</t>
        </is>
      </c>
      <c r="G95" t="inlineStr">
        <is>
          <t>ANEBY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44477</v>
      </c>
      <c r="E96" s="1" t="n">
        <v>46256</v>
      </c>
      <c r="F96" t="inlineStr">
        <is>
          <t>JÖNKÖPINGS LÄN</t>
        </is>
      </c>
      <c r="G96" t="inlineStr">
        <is>
          <t>ANEBY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46256</v>
      </c>
      <c r="F97" t="inlineStr">
        <is>
          <t>JÖNKÖPINGS LÄN</t>
        </is>
      </c>
      <c r="G97" t="inlineStr">
        <is>
          <t>ANEBY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46256</v>
      </c>
      <c r="F98" t="inlineStr">
        <is>
          <t>JÖNKÖPINGS LÄN</t>
        </is>
      </c>
      <c r="G98" t="inlineStr">
        <is>
          <t>ANEBY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46256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19943-2025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46256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46256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43019-2025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45909</v>
      </c>
      <c r="E102" s="1" t="n">
        <v>46256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45909</v>
      </c>
      <c r="E103" s="1" t="n">
        <v>46256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42795-2023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45182</v>
      </c>
      <c r="E104" s="1" t="n">
        <v>46256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46256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16.8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16960-2023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45033</v>
      </c>
      <c r="E106" s="1" t="n">
        <v>46256</v>
      </c>
      <c r="F106" t="inlineStr">
        <is>
          <t>JÖNKÖPINGS LÄN</t>
        </is>
      </c>
      <c r="G106" t="inlineStr">
        <is>
          <t>ANEBY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46256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19362-2025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46256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44985</v>
      </c>
      <c r="E109" s="1" t="n">
        <v>46256</v>
      </c>
      <c r="F109" t="inlineStr">
        <is>
          <t>JÖNKÖPINGS LÄN</t>
        </is>
      </c>
      <c r="G109" t="inlineStr">
        <is>
          <t>ANEBY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46256</v>
      </c>
      <c r="F110" t="inlineStr">
        <is>
          <t>JÖNKÖPINGS LÄN</t>
        </is>
      </c>
      <c r="G110" t="inlineStr">
        <is>
          <t>ANEBY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43528-2025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45911</v>
      </c>
      <c r="E111" s="1" t="n">
        <v>46256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46256</v>
      </c>
      <c r="F112" t="inlineStr">
        <is>
          <t>JÖNKÖPINGS LÄN</t>
        </is>
      </c>
      <c r="G112" t="inlineStr">
        <is>
          <t>ANEBY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45122</v>
      </c>
      <c r="E113" s="1" t="n">
        <v>46256</v>
      </c>
      <c r="F113" t="inlineStr">
        <is>
          <t>JÖNKÖPINGS LÄN</t>
        </is>
      </c>
      <c r="G113" t="inlineStr">
        <is>
          <t>ANEBY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46256</v>
      </c>
      <c r="F114" t="inlineStr">
        <is>
          <t>JÖNKÖPINGS LÄN</t>
        </is>
      </c>
      <c r="G114" t="inlineStr">
        <is>
          <t>ANEBY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44888</v>
      </c>
      <c r="E115" s="1" t="n">
        <v>46256</v>
      </c>
      <c r="F115" t="inlineStr">
        <is>
          <t>JÖNKÖPINGS LÄN</t>
        </is>
      </c>
      <c r="G115" t="inlineStr">
        <is>
          <t>ANEBY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46256</v>
      </c>
      <c r="F116" t="inlineStr">
        <is>
          <t>JÖNKÖPINGS LÄN</t>
        </is>
      </c>
      <c r="G116" t="inlineStr">
        <is>
          <t>ANEBY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46256</v>
      </c>
      <c r="F117" t="inlineStr">
        <is>
          <t>JÖNKÖPINGS LÄN</t>
        </is>
      </c>
      <c r="G117" t="inlineStr">
        <is>
          <t>ANEBY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46256</v>
      </c>
      <c r="F118" t="inlineStr">
        <is>
          <t>JÖNKÖPINGS LÄN</t>
        </is>
      </c>
      <c r="G118" t="inlineStr">
        <is>
          <t>ANEBY</t>
        </is>
      </c>
      <c r="H118" t="inlineStr">
        <is>
          <t>Sveaskog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46256</v>
      </c>
      <c r="F119" t="inlineStr">
        <is>
          <t>JÖNKÖPINGS LÄN</t>
        </is>
      </c>
      <c r="G119" t="inlineStr">
        <is>
          <t>ANEBY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44985</v>
      </c>
      <c r="E120" s="1" t="n">
        <v>46256</v>
      </c>
      <c r="F120" t="inlineStr">
        <is>
          <t>JÖNKÖPINGS LÄN</t>
        </is>
      </c>
      <c r="G120" t="inlineStr">
        <is>
          <t>ANEBY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46256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45454</v>
      </c>
      <c r="E122" s="1" t="n">
        <v>46256</v>
      </c>
      <c r="F122" t="inlineStr">
        <is>
          <t>JÖNKÖPINGS LÄN</t>
        </is>
      </c>
      <c r="G122" t="inlineStr">
        <is>
          <t>ANEBY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46256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46256</v>
      </c>
      <c r="F124" t="inlineStr">
        <is>
          <t>JÖNKÖPINGS LÄN</t>
        </is>
      </c>
      <c r="G124" t="inlineStr">
        <is>
          <t>ANEBY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46256</v>
      </c>
      <c r="F125" t="inlineStr">
        <is>
          <t>JÖNKÖPINGS LÄN</t>
        </is>
      </c>
      <c r="G125" t="inlineStr">
        <is>
          <t>ANEBY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49427-2023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45205</v>
      </c>
      <c r="E126" s="1" t="n">
        <v>46256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46256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46256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46256</v>
      </c>
      <c r="F129" t="inlineStr">
        <is>
          <t>JÖNKÖPINGS LÄN</t>
        </is>
      </c>
      <c r="G129" t="inlineStr">
        <is>
          <t>ANEBY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46256</v>
      </c>
      <c r="F130" t="inlineStr">
        <is>
          <t>JÖNKÖPINGS LÄN</t>
        </is>
      </c>
      <c r="G130" t="inlineStr">
        <is>
          <t>ANEBY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46256</v>
      </c>
      <c r="F131" t="inlineStr">
        <is>
          <t>JÖNKÖPINGS LÄN</t>
        </is>
      </c>
      <c r="G131" t="inlineStr">
        <is>
          <t>ANEBY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46256</v>
      </c>
      <c r="F132" t="inlineStr">
        <is>
          <t>JÖNKÖPINGS LÄN</t>
        </is>
      </c>
      <c r="G132" t="inlineStr">
        <is>
          <t>ANEBY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46256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45379</v>
      </c>
      <c r="E134" s="1" t="n">
        <v>46256</v>
      </c>
      <c r="F134" t="inlineStr">
        <is>
          <t>JÖNKÖPINGS LÄN</t>
        </is>
      </c>
      <c r="G134" t="inlineStr">
        <is>
          <t>ANEBY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46256</v>
      </c>
      <c r="F135" t="inlineStr">
        <is>
          <t>JÖNKÖPINGS LÄN</t>
        </is>
      </c>
      <c r="G135" t="inlineStr">
        <is>
          <t>ANEBY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46256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18438-2025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45762</v>
      </c>
      <c r="E137" s="1" t="n">
        <v>46256</v>
      </c>
      <c r="F137" t="inlineStr">
        <is>
          <t>JÖNKÖPINGS LÄN</t>
        </is>
      </c>
      <c r="G137" t="inlineStr">
        <is>
          <t>ANEBY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46256</v>
      </c>
      <c r="F138" t="inlineStr">
        <is>
          <t>JÖNKÖPINGS LÄN</t>
        </is>
      </c>
      <c r="G138" t="inlineStr">
        <is>
          <t>ANEBY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26769-2022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46256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45300</v>
      </c>
      <c r="E140" s="1" t="n">
        <v>46256</v>
      </c>
      <c r="F140" t="inlineStr">
        <is>
          <t>JÖNKÖPINGS LÄN</t>
        </is>
      </c>
      <c r="G140" t="inlineStr">
        <is>
          <t>ANEBY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45727</v>
      </c>
      <c r="E141" s="1" t="n">
        <v>46256</v>
      </c>
      <c r="F141" t="inlineStr">
        <is>
          <t>JÖNKÖPINGS LÄN</t>
        </is>
      </c>
      <c r="G141" t="inlineStr">
        <is>
          <t>ANEBY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46256</v>
      </c>
      <c r="F142" t="inlineStr">
        <is>
          <t>JÖNKÖPINGS LÄN</t>
        </is>
      </c>
      <c r="G142" t="inlineStr">
        <is>
          <t>ANEBY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45653</v>
      </c>
      <c r="E143" s="1" t="n">
        <v>46256</v>
      </c>
      <c r="F143" t="inlineStr">
        <is>
          <t>JÖNKÖPINGS LÄN</t>
        </is>
      </c>
      <c r="G143" t="inlineStr">
        <is>
          <t>ANEBY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46256</v>
      </c>
      <c r="F144" t="inlineStr">
        <is>
          <t>JÖNKÖPINGS LÄN</t>
        </is>
      </c>
      <c r="G144" t="inlineStr">
        <is>
          <t>ANEBY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46256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46256</v>
      </c>
      <c r="F146" t="inlineStr">
        <is>
          <t>JÖNKÖPINGS LÄN</t>
        </is>
      </c>
      <c r="G146" t="inlineStr">
        <is>
          <t>ANEBY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46256</v>
      </c>
      <c r="F147" t="inlineStr">
        <is>
          <t>JÖNKÖPINGS LÄN</t>
        </is>
      </c>
      <c r="G147" t="inlineStr">
        <is>
          <t>ANEBY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46256</v>
      </c>
      <c r="F148" t="inlineStr">
        <is>
          <t>JÖNKÖPINGS LÄN</t>
        </is>
      </c>
      <c r="G148" t="inlineStr">
        <is>
          <t>ANEBY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46256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46256</v>
      </c>
      <c r="F150" t="inlineStr">
        <is>
          <t>JÖNKÖPINGS LÄN</t>
        </is>
      </c>
      <c r="G150" t="inlineStr">
        <is>
          <t>ANEBY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53570-2025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46256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46256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44952</v>
      </c>
      <c r="E153" s="1" t="n">
        <v>46256</v>
      </c>
      <c r="F153" t="inlineStr">
        <is>
          <t>JÖNKÖPINGS LÄN</t>
        </is>
      </c>
      <c r="G153" t="inlineStr">
        <is>
          <t>ANEBY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45707</v>
      </c>
      <c r="E154" s="1" t="n">
        <v>46256</v>
      </c>
      <c r="F154" t="inlineStr">
        <is>
          <t>JÖNKÖPINGS LÄN</t>
        </is>
      </c>
      <c r="G154" t="inlineStr">
        <is>
          <t>ANEBY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46256</v>
      </c>
      <c r="F155" t="inlineStr">
        <is>
          <t>JÖNKÖPINGS LÄN</t>
        </is>
      </c>
      <c r="G155" t="inlineStr">
        <is>
          <t>ANEBY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73166-2021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44550</v>
      </c>
      <c r="E156" s="1" t="n">
        <v>46256</v>
      </c>
      <c r="F156" t="inlineStr">
        <is>
          <t>JÖNKÖPINGS LÄN</t>
        </is>
      </c>
      <c r="G156" t="inlineStr">
        <is>
          <t>ANEBY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46256</v>
      </c>
      <c r="F157" t="inlineStr">
        <is>
          <t>JÖNKÖPINGS LÄN</t>
        </is>
      </c>
      <c r="G157" t="inlineStr">
        <is>
          <t>ANEBY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46256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23349-2023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46256</v>
      </c>
      <c r="F159" t="inlineStr">
        <is>
          <t>JÖNKÖPINGS LÄN</t>
        </is>
      </c>
      <c r="G159" t="inlineStr">
        <is>
          <t>ANEBY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46256</v>
      </c>
      <c r="F160" t="inlineStr">
        <is>
          <t>JÖNKÖPINGS LÄN</t>
        </is>
      </c>
      <c r="G160" t="inlineStr">
        <is>
          <t>ANEBY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46256</v>
      </c>
      <c r="F161" t="inlineStr">
        <is>
          <t>JÖNKÖPINGS LÄN</t>
        </is>
      </c>
      <c r="G161" t="inlineStr">
        <is>
          <t>ANEBY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54911-2025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46256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46256</v>
      </c>
      <c r="F163" t="inlineStr">
        <is>
          <t>JÖNKÖPINGS LÄN</t>
        </is>
      </c>
      <c r="G163" t="inlineStr">
        <is>
          <t>ANEBY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4913-2025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45688</v>
      </c>
      <c r="E164" s="1" t="n">
        <v>46256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45300</v>
      </c>
      <c r="E165" s="1" t="n">
        <v>46256</v>
      </c>
      <c r="F165" t="inlineStr">
        <is>
          <t>JÖNKÖPINGS LÄN</t>
        </is>
      </c>
      <c r="G165" t="inlineStr">
        <is>
          <t>ANEBY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46256</v>
      </c>
      <c r="F166" t="inlineStr">
        <is>
          <t>JÖNKÖPINGS LÄN</t>
        </is>
      </c>
      <c r="G166" t="inlineStr">
        <is>
          <t>ANEBY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45467</v>
      </c>
      <c r="E167" s="1" t="n">
        <v>46256</v>
      </c>
      <c r="F167" t="inlineStr">
        <is>
          <t>JÖNKÖPINGS LÄN</t>
        </is>
      </c>
      <c r="G167" t="inlineStr">
        <is>
          <t>ANEBY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Z167">
        <f>HYPERLINK("https://klasma.github.io/Logging_0604/knärot/A 25963-2024 karta knärot.png", "A 25963-2024")</f>
        <v/>
      </c>
      <c r="AA167">
        <f>HYPERLINK("https://klasma.github.io/Logging_0604/klagomål/A 25963-2024 FSC-klagomål.docx", "A 25963-2024")</f>
        <v/>
      </c>
      <c r="AB167">
        <f>HYPERLINK("https://klasma.github.io/Logging_0604/klagomålsmail/A 25963-2024 FSC-klagomål mail.docx", "A 25963-2024")</f>
        <v/>
      </c>
      <c r="AC167">
        <f>HYPERLINK("https://klasma.github.io/Logging_0604/tillsyn/A 25963-2024 tillsynsbegäran.docx", "A 25963-2024")</f>
        <v/>
      </c>
      <c r="AD167">
        <f>HYPERLINK("https://klasma.github.io/Logging_0604/tillsynsmail/A 25963-2024 tillsynsbegäran mail.docx", "A 25963-2024")</f>
        <v/>
      </c>
    </row>
    <row r="168" ht="15" customHeight="1">
      <c r="A168" t="inlineStr">
        <is>
          <t>A 43291-2023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46256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46256</v>
      </c>
      <c r="F169" t="inlineStr">
        <is>
          <t>JÖNKÖPINGS LÄN</t>
        </is>
      </c>
      <c r="G169" t="inlineStr">
        <is>
          <t>ANEBY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45304</v>
      </c>
      <c r="E170" s="1" t="n">
        <v>46256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45033</v>
      </c>
      <c r="E171" s="1" t="n">
        <v>46256</v>
      </c>
      <c r="F171" t="inlineStr">
        <is>
          <t>JÖNKÖPINGS LÄN</t>
        </is>
      </c>
      <c r="G171" t="inlineStr">
        <is>
          <t>ANEBY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45077</v>
      </c>
      <c r="E172" s="1" t="n">
        <v>46256</v>
      </c>
      <c r="F172" t="inlineStr">
        <is>
          <t>JÖNKÖPINGS LÄN</t>
        </is>
      </c>
      <c r="G172" t="inlineStr">
        <is>
          <t>ANEBY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45077</v>
      </c>
      <c r="E173" s="1" t="n">
        <v>46256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46256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27714-2024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45475</v>
      </c>
      <c r="E175" s="1" t="n">
        <v>46256</v>
      </c>
      <c r="F175" t="inlineStr">
        <is>
          <t>JÖNKÖPINGS LÄN</t>
        </is>
      </c>
      <c r="G175" t="inlineStr">
        <is>
          <t>ANEBY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46256</v>
      </c>
      <c r="F176" t="inlineStr">
        <is>
          <t>JÖNKÖPINGS LÄN</t>
        </is>
      </c>
      <c r="G176" t="inlineStr">
        <is>
          <t>ANEBY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35417-2023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46256</v>
      </c>
      <c r="F177" t="inlineStr">
        <is>
          <t>JÖNKÖPINGS LÄN</t>
        </is>
      </c>
      <c r="G177" t="inlineStr">
        <is>
          <t>ANEBY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46256</v>
      </c>
      <c r="F178" t="inlineStr">
        <is>
          <t>JÖNKÖPINGS LÄN</t>
        </is>
      </c>
      <c r="G178" t="inlineStr">
        <is>
          <t>ANEBY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46256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46256</v>
      </c>
      <c r="F180" t="inlineStr">
        <is>
          <t>JÖNKÖPINGS LÄN</t>
        </is>
      </c>
      <c r="G180" t="inlineStr">
        <is>
          <t>ANEBY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46256</v>
      </c>
      <c r="F181" t="inlineStr">
        <is>
          <t>JÖNKÖPINGS LÄN</t>
        </is>
      </c>
      <c r="G181" t="inlineStr">
        <is>
          <t>ANEBY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46256</v>
      </c>
      <c r="F182" t="inlineStr">
        <is>
          <t>JÖNKÖPINGS LÄN</t>
        </is>
      </c>
      <c r="G182" t="inlineStr">
        <is>
          <t>ANEBY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46256</v>
      </c>
      <c r="F183" t="inlineStr">
        <is>
          <t>JÖNKÖPINGS LÄN</t>
        </is>
      </c>
      <c r="G183" t="inlineStr">
        <is>
          <t>ANEBY</t>
        </is>
      </c>
      <c r="H183" t="inlineStr">
        <is>
          <t>Övriga Aktiebolag</t>
        </is>
      </c>
      <c r="I183" t="n">
        <v>18.6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46256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7.5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49133-2022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44860</v>
      </c>
      <c r="E185" s="1" t="n">
        <v>46256</v>
      </c>
      <c r="F185" t="inlineStr">
        <is>
          <t>JÖNKÖPINGS LÄN</t>
        </is>
      </c>
      <c r="G185" t="inlineStr">
        <is>
          <t>ANEBY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46256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57174-2021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44482</v>
      </c>
      <c r="E187" s="1" t="n">
        <v>46256</v>
      </c>
      <c r="F187" t="inlineStr">
        <is>
          <t>JÖNKÖPINGS LÄN</t>
        </is>
      </c>
      <c r="G187" t="inlineStr">
        <is>
          <t>ANEBY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44721</v>
      </c>
      <c r="E188" s="1" t="n">
        <v>46256</v>
      </c>
      <c r="F188" t="inlineStr">
        <is>
          <t>JÖNKÖPINGS LÄN</t>
        </is>
      </c>
      <c r="G188" t="inlineStr">
        <is>
          <t>ANEBY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46256</v>
      </c>
      <c r="F189" t="inlineStr">
        <is>
          <t>JÖNKÖPINGS LÄN</t>
        </is>
      </c>
      <c r="G189" t="inlineStr">
        <is>
          <t>ANEBY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54213-2024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45616</v>
      </c>
      <c r="E190" s="1" t="n">
        <v>46256</v>
      </c>
      <c r="F190" t="inlineStr">
        <is>
          <t>JÖNKÖPINGS LÄN</t>
        </is>
      </c>
      <c r="G190" t="inlineStr">
        <is>
          <t>ANEBY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60094-2025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46256</v>
      </c>
      <c r="F191" t="inlineStr">
        <is>
          <t>JÖNKÖPINGS LÄN</t>
        </is>
      </c>
      <c r="G191" t="inlineStr">
        <is>
          <t>ANEBY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46256</v>
      </c>
      <c r="F192" t="inlineStr">
        <is>
          <t>JÖNKÖPINGS LÄN</t>
        </is>
      </c>
      <c r="G192" t="inlineStr">
        <is>
          <t>ANEBY</t>
        </is>
      </c>
      <c r="H192" t="inlineStr">
        <is>
          <t>Sveaskog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46256</v>
      </c>
      <c r="F193" t="inlineStr">
        <is>
          <t>JÖNKÖPINGS LÄN</t>
        </is>
      </c>
      <c r="G193" t="inlineStr">
        <is>
          <t>ANEBY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46256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46256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46256</v>
      </c>
      <c r="F196" t="inlineStr">
        <is>
          <t>JÖNKÖPINGS LÄN</t>
        </is>
      </c>
      <c r="G196" t="inlineStr">
        <is>
          <t>ANEBY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46256</v>
      </c>
      <c r="F197" t="inlineStr">
        <is>
          <t>JÖNKÖPINGS LÄN</t>
        </is>
      </c>
      <c r="G197" t="inlineStr">
        <is>
          <t>ANEBY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46256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46256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45316</v>
      </c>
      <c r="E200" s="1" t="n">
        <v>46256</v>
      </c>
      <c r="F200" t="inlineStr">
        <is>
          <t>JÖNKÖPINGS LÄN</t>
        </is>
      </c>
      <c r="G200" t="inlineStr">
        <is>
          <t>ANEBY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46256</v>
      </c>
      <c r="F201" t="inlineStr">
        <is>
          <t>JÖNKÖPINGS LÄN</t>
        </is>
      </c>
      <c r="G201" t="inlineStr">
        <is>
          <t>ANEBY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62095-2025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46256</v>
      </c>
      <c r="F202" t="inlineStr">
        <is>
          <t>JÖNKÖPINGS LÄN</t>
        </is>
      </c>
      <c r="G202" t="inlineStr">
        <is>
          <t>ANEBY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43613-2023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45184</v>
      </c>
      <c r="E203" s="1" t="n">
        <v>46256</v>
      </c>
      <c r="F203" t="inlineStr">
        <is>
          <t>JÖNKÖPINGS LÄN</t>
        </is>
      </c>
      <c r="G203" t="inlineStr">
        <is>
          <t>ANEBY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12477-2023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44999</v>
      </c>
      <c r="E204" s="1" t="n">
        <v>46256</v>
      </c>
      <c r="F204" t="inlineStr">
        <is>
          <t>JÖNKÖPINGS LÄN</t>
        </is>
      </c>
      <c r="G204" t="inlineStr">
        <is>
          <t>ANEBY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46256</v>
      </c>
      <c r="F205" t="inlineStr">
        <is>
          <t>JÖNKÖPINGS LÄN</t>
        </is>
      </c>
      <c r="G205" t="inlineStr">
        <is>
          <t>ANEBY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46256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46256</v>
      </c>
      <c r="F207" t="inlineStr">
        <is>
          <t>JÖNKÖPINGS LÄN</t>
        </is>
      </c>
      <c r="G207" t="inlineStr">
        <is>
          <t>ANEBY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46256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46256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46256</v>
      </c>
      <c r="F210" t="inlineStr">
        <is>
          <t>JÖNKÖPINGS LÄN</t>
        </is>
      </c>
      <c r="G210" t="inlineStr">
        <is>
          <t>ANEBY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45124</v>
      </c>
      <c r="E211" s="1" t="n">
        <v>46256</v>
      </c>
      <c r="F211" t="inlineStr">
        <is>
          <t>JÖNKÖPINGS LÄN</t>
        </is>
      </c>
      <c r="G211" t="inlineStr">
        <is>
          <t>ANEBY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57170-2021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44482</v>
      </c>
      <c r="E212" s="1" t="n">
        <v>46256</v>
      </c>
      <c r="F212" t="inlineStr">
        <is>
          <t>JÖNKÖPINGS LÄN</t>
        </is>
      </c>
      <c r="G212" t="inlineStr">
        <is>
          <t>ANEBY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46256</v>
      </c>
      <c r="F213" t="inlineStr">
        <is>
          <t>JÖNKÖPINGS LÄN</t>
        </is>
      </c>
      <c r="G213" t="inlineStr">
        <is>
          <t>ANEBY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35773-2023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45148</v>
      </c>
      <c r="E214" s="1" t="n">
        <v>46256</v>
      </c>
      <c r="F214" t="inlineStr">
        <is>
          <t>JÖNKÖPINGS LÄN</t>
        </is>
      </c>
      <c r="G214" t="inlineStr">
        <is>
          <t>ANEBY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44957</v>
      </c>
      <c r="E215" s="1" t="n">
        <v>46256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44481</v>
      </c>
      <c r="E216" s="1" t="n">
        <v>46256</v>
      </c>
      <c r="F216" t="inlineStr">
        <is>
          <t>JÖNKÖPINGS LÄN</t>
        </is>
      </c>
      <c r="G216" t="inlineStr">
        <is>
          <t>ANEBY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46256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46256</v>
      </c>
      <c r="F218" t="inlineStr">
        <is>
          <t>JÖNKÖPINGS LÄN</t>
        </is>
      </c>
      <c r="G218" t="inlineStr">
        <is>
          <t>ANEBY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46256</v>
      </c>
      <c r="F219" t="inlineStr">
        <is>
          <t>JÖNKÖPINGS LÄN</t>
        </is>
      </c>
      <c r="G219" t="inlineStr">
        <is>
          <t>ANEBY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46256</v>
      </c>
      <c r="F220" t="inlineStr">
        <is>
          <t>JÖNKÖPINGS LÄN</t>
        </is>
      </c>
      <c r="G220" t="inlineStr">
        <is>
          <t>ANEBY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46256</v>
      </c>
      <c r="F221" t="inlineStr">
        <is>
          <t>JÖNKÖPINGS LÄN</t>
        </is>
      </c>
      <c r="G221" t="inlineStr">
        <is>
          <t>ANEBY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45304</v>
      </c>
      <c r="E222" s="1" t="n">
        <v>46256</v>
      </c>
      <c r="F222" t="inlineStr">
        <is>
          <t>JÖNKÖPINGS LÄN</t>
        </is>
      </c>
      <c r="G222" t="inlineStr">
        <is>
          <t>ANEBY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46256</v>
      </c>
      <c r="F223" t="inlineStr">
        <is>
          <t>JÖNKÖPINGS LÄN</t>
        </is>
      </c>
      <c r="G223" t="inlineStr">
        <is>
          <t>ANEBY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46256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46256</v>
      </c>
      <c r="F225" t="inlineStr">
        <is>
          <t>JÖNKÖPINGS LÄN</t>
        </is>
      </c>
      <c r="G225" t="inlineStr">
        <is>
          <t>ANEBY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46256</v>
      </c>
      <c r="F226" t="inlineStr">
        <is>
          <t>JÖNKÖPINGS LÄN</t>
        </is>
      </c>
      <c r="G226" t="inlineStr">
        <is>
          <t>ANEBY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21026-2024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45439</v>
      </c>
      <c r="E227" s="1" t="n">
        <v>46256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48524-2024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45593</v>
      </c>
      <c r="E228" s="1" t="n">
        <v>46256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46256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46256</v>
      </c>
      <c r="F230" t="inlineStr">
        <is>
          <t>JÖNKÖPINGS LÄN</t>
        </is>
      </c>
      <c r="G230" t="inlineStr">
        <is>
          <t>ANEBY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44890</v>
      </c>
      <c r="E231" s="1" t="n">
        <v>46256</v>
      </c>
      <c r="F231" t="inlineStr">
        <is>
          <t>JÖNKÖPINGS LÄN</t>
        </is>
      </c>
      <c r="G231" t="inlineStr">
        <is>
          <t>ANEBY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46256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46256</v>
      </c>
      <c r="F233" t="inlineStr">
        <is>
          <t>JÖNKÖPINGS LÄN</t>
        </is>
      </c>
      <c r="G233" t="inlineStr">
        <is>
          <t>ANEBY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46256</v>
      </c>
      <c r="F234" t="inlineStr">
        <is>
          <t>JÖNKÖPINGS LÄN</t>
        </is>
      </c>
      <c r="G234" t="inlineStr">
        <is>
          <t>ANEBY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6827-2026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46057</v>
      </c>
      <c r="E235" s="1" t="n">
        <v>46256</v>
      </c>
      <c r="F235" t="inlineStr">
        <is>
          <t>JÖNKÖPINGS LÄN</t>
        </is>
      </c>
      <c r="G235" t="inlineStr">
        <is>
          <t>ANEBY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46214</v>
      </c>
      <c r="E236" s="1" t="n">
        <v>46256</v>
      </c>
      <c r="F236" t="inlineStr">
        <is>
          <t>JÖNKÖPINGS LÄN</t>
        </is>
      </c>
      <c r="G236" t="inlineStr">
        <is>
          <t>ANEBY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46214</v>
      </c>
      <c r="E237" s="1" t="n">
        <v>46256</v>
      </c>
      <c r="F237" t="inlineStr">
        <is>
          <t>JÖNKÖPINGS LÄN</t>
        </is>
      </c>
      <c r="G237" t="inlineStr">
        <is>
          <t>ANEBY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46256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46256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46256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46256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46256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10155-2024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45364</v>
      </c>
      <c r="E243" s="1" t="n">
        <v>46256</v>
      </c>
      <c r="F243" t="inlineStr">
        <is>
          <t>JÖNKÖPINGS LÄN</t>
        </is>
      </c>
      <c r="G243" t="inlineStr">
        <is>
          <t>ANEBY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46256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46214</v>
      </c>
      <c r="E245" s="1" t="n">
        <v>46256</v>
      </c>
      <c r="F245" t="inlineStr">
        <is>
          <t>JÖNKÖPINGS LÄN</t>
        </is>
      </c>
      <c r="G245" t="inlineStr">
        <is>
          <t>ANEBY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14338-2024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45393</v>
      </c>
      <c r="E246" s="1" t="n">
        <v>46256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49398-2022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44859</v>
      </c>
      <c r="E247" s="1" t="n">
        <v>46256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45763</v>
      </c>
      <c r="E248" s="1" t="n">
        <v>46256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46256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44705</v>
      </c>
      <c r="E250" s="1" t="n">
        <v>46256</v>
      </c>
      <c r="F250" t="inlineStr">
        <is>
          <t>JÖNKÖPINGS LÄN</t>
        </is>
      </c>
      <c r="G250" t="inlineStr">
        <is>
          <t>ANEBY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46064</v>
      </c>
      <c r="E251" s="1" t="n">
        <v>46256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46176</v>
      </c>
      <c r="E252" s="1" t="n">
        <v>46256</v>
      </c>
      <c r="F252" t="inlineStr">
        <is>
          <t>JÖNKÖPINGS LÄN</t>
        </is>
      </c>
      <c r="G252" t="inlineStr">
        <is>
          <t>ANEBY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25897-2026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46256</v>
      </c>
      <c r="F253" t="inlineStr">
        <is>
          <t>JÖNKÖPINGS LÄN</t>
        </is>
      </c>
      <c r="G253" t="inlineStr">
        <is>
          <t>ANEBY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46256</v>
      </c>
      <c r="F254" t="inlineStr">
        <is>
          <t>JÖNKÖPINGS LÄN</t>
        </is>
      </c>
      <c r="G254" t="inlineStr">
        <is>
          <t>ANEBY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44620</v>
      </c>
      <c r="E255" s="1" t="n">
        <v>46256</v>
      </c>
      <c r="F255" t="inlineStr">
        <is>
          <t>JÖNKÖPINGS LÄN</t>
        </is>
      </c>
      <c r="G255" t="inlineStr">
        <is>
          <t>ANEBY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44981</v>
      </c>
      <c r="E256" s="1" t="n">
        <v>46256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46256</v>
      </c>
      <c r="F257" t="inlineStr">
        <is>
          <t>JÖNKÖPINGS LÄN</t>
        </is>
      </c>
      <c r="G257" t="inlineStr">
        <is>
          <t>ANEBY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45379</v>
      </c>
      <c r="E258" s="1" t="n">
        <v>46256</v>
      </c>
      <c r="F258" t="inlineStr">
        <is>
          <t>JÖNKÖPINGS LÄN</t>
        </is>
      </c>
      <c r="G258" t="inlineStr">
        <is>
          <t>ANEBY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46256</v>
      </c>
      <c r="F259" t="inlineStr">
        <is>
          <t>JÖNKÖPINGS LÄN</t>
        </is>
      </c>
      <c r="G259" t="inlineStr">
        <is>
          <t>ANEBY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45126</v>
      </c>
      <c r="E260" s="1" t="n">
        <v>46256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51185-2021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46256</v>
      </c>
      <c r="F261" t="inlineStr">
        <is>
          <t>JÖNKÖPINGS LÄN</t>
        </is>
      </c>
      <c r="G261" t="inlineStr">
        <is>
          <t>ANEBY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46256</v>
      </c>
      <c r="F262" t="inlineStr">
        <is>
          <t>JÖNKÖPINGS LÄN</t>
        </is>
      </c>
      <c r="G262" t="inlineStr">
        <is>
          <t>ANEBY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46256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46256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46256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27527-2026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46256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46256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46256</v>
      </c>
      <c r="F268" t="inlineStr">
        <is>
          <t>JÖNKÖPINGS LÄN</t>
        </is>
      </c>
      <c r="G268" t="inlineStr">
        <is>
          <t>ANEBY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46256</v>
      </c>
      <c r="F269" t="inlineStr">
        <is>
          <t>JÖNKÖPINGS LÄN</t>
        </is>
      </c>
      <c r="G269" t="inlineStr">
        <is>
          <t>ANEBY</t>
        </is>
      </c>
      <c r="I269" t="n">
        <v>17.9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46256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27357-2026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46256</v>
      </c>
      <c r="F271" t="inlineStr">
        <is>
          <t>JÖNKÖPINGS LÄN</t>
        </is>
      </c>
      <c r="G271" t="inlineStr">
        <is>
          <t>ANEBY</t>
        </is>
      </c>
      <c r="H271" t="inlineStr">
        <is>
          <t>Övriga Aktiebolag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46093</v>
      </c>
      <c r="E272" s="1" t="n">
        <v>46256</v>
      </c>
      <c r="F272" t="inlineStr">
        <is>
          <t>JÖNKÖPINGS LÄN</t>
        </is>
      </c>
      <c r="G272" t="inlineStr">
        <is>
          <t>ANEBY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46256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46256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45365</v>
      </c>
      <c r="E275" s="1" t="n">
        <v>46256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46256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20.7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45539</v>
      </c>
      <c r="E277" s="1" t="n">
        <v>46256</v>
      </c>
      <c r="F277" t="inlineStr">
        <is>
          <t>JÖNKÖPINGS LÄN</t>
        </is>
      </c>
      <c r="G277" t="inlineStr">
        <is>
          <t>ANEBY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46256</v>
      </c>
      <c r="F278" t="inlineStr">
        <is>
          <t>JÖNKÖPINGS LÄN</t>
        </is>
      </c>
      <c r="G278" t="inlineStr">
        <is>
          <t>ANEBY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46256</v>
      </c>
      <c r="F279" t="inlineStr">
        <is>
          <t>JÖNKÖPINGS LÄN</t>
        </is>
      </c>
      <c r="G279" t="inlineStr">
        <is>
          <t>ANEBY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46256</v>
      </c>
      <c r="F280" t="inlineStr">
        <is>
          <t>JÖNKÖPINGS LÄN</t>
        </is>
      </c>
      <c r="G280" t="inlineStr">
        <is>
          <t>ANEBY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46256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46256</v>
      </c>
      <c r="F282" t="inlineStr">
        <is>
          <t>JÖNKÖPINGS LÄN</t>
        </is>
      </c>
      <c r="G282" t="inlineStr">
        <is>
          <t>ANEBY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46256</v>
      </c>
      <c r="F283" t="inlineStr">
        <is>
          <t>JÖNKÖPINGS LÄN</t>
        </is>
      </c>
      <c r="G283" t="inlineStr">
        <is>
          <t>ANEBY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46256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46256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46195</v>
      </c>
      <c r="E286" s="1" t="n">
        <v>46256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46256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46196</v>
      </c>
      <c r="E288" s="1" t="n">
        <v>46256</v>
      </c>
      <c r="F288" t="inlineStr">
        <is>
          <t>JÖNKÖPINGS LÄN</t>
        </is>
      </c>
      <c r="G288" t="inlineStr">
        <is>
          <t>ANEBY</t>
        </is>
      </c>
      <c r="H288" t="inlineStr">
        <is>
          <t>Kyrkan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46256</v>
      </c>
      <c r="F289" t="inlineStr">
        <is>
          <t>JÖNKÖPINGS LÄN</t>
        </is>
      </c>
      <c r="G289" t="inlineStr">
        <is>
          <t>ANEBY</t>
        </is>
      </c>
      <c r="H289" t="inlineStr">
        <is>
          <t>Kyrkan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46256</v>
      </c>
      <c r="F290" t="inlineStr">
        <is>
          <t>JÖNKÖPINGS LÄN</t>
        </is>
      </c>
      <c r="G290" t="inlineStr">
        <is>
          <t>ANEBY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67414-2021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46256</v>
      </c>
      <c r="F291" t="inlineStr">
        <is>
          <t>JÖNKÖPINGS LÄN</t>
        </is>
      </c>
      <c r="G291" t="inlineStr">
        <is>
          <t>ANEBY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16928-2023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45033</v>
      </c>
      <c r="E292" s="1" t="n">
        <v>46256</v>
      </c>
      <c r="F292" t="inlineStr">
        <is>
          <t>JÖNKÖPINGS LÄN</t>
        </is>
      </c>
      <c r="G292" t="inlineStr">
        <is>
          <t>ANEBY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59507-2022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44900</v>
      </c>
      <c r="E293" s="1" t="n">
        <v>46256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46256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46256</v>
      </c>
      <c r="F295" t="inlineStr">
        <is>
          <t>JÖNKÖPINGS LÄN</t>
        </is>
      </c>
      <c r="G295" t="inlineStr">
        <is>
          <t>ANEBY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23354-2023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45076</v>
      </c>
      <c r="E296" s="1" t="n">
        <v>46256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46256</v>
      </c>
      <c r="F297" t="inlineStr">
        <is>
          <t>JÖNKÖPINGS LÄN</t>
        </is>
      </c>
      <c r="G297" t="inlineStr">
        <is>
          <t>ANEBY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46256</v>
      </c>
      <c r="F298" t="inlineStr">
        <is>
          <t>JÖNKÖPINGS LÄN</t>
        </is>
      </c>
      <c r="G298" t="inlineStr">
        <is>
          <t>ANEBY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37343-2023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45156</v>
      </c>
      <c r="E299" s="1" t="n">
        <v>46256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9880-2024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45363</v>
      </c>
      <c r="E300" s="1" t="n">
        <v>46256</v>
      </c>
      <c r="F300" t="inlineStr">
        <is>
          <t>JÖNKÖPINGS LÄN</t>
        </is>
      </c>
      <c r="G300" t="inlineStr">
        <is>
          <t>ANEBY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45077</v>
      </c>
      <c r="E301" s="1" t="n">
        <v>46256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46256</v>
      </c>
      <c r="F302" t="inlineStr">
        <is>
          <t>JÖNKÖPINGS LÄN</t>
        </is>
      </c>
      <c r="G302" t="inlineStr">
        <is>
          <t>ANEBY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38794-2023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45161</v>
      </c>
      <c r="E303" s="1" t="n">
        <v>46256</v>
      </c>
      <c r="F303" t="inlineStr">
        <is>
          <t>JÖNKÖPINGS LÄN</t>
        </is>
      </c>
      <c r="G303" t="inlineStr">
        <is>
          <t>ANEBY</t>
        </is>
      </c>
      <c r="H303" t="inlineStr">
        <is>
          <t>Övriga Aktiebolag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46256</v>
      </c>
      <c r="F304" t="inlineStr">
        <is>
          <t>JÖNKÖPINGS LÄN</t>
        </is>
      </c>
      <c r="G304" t="inlineStr">
        <is>
          <t>ANEBY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46256</v>
      </c>
      <c r="F305" t="inlineStr">
        <is>
          <t>JÖNKÖPINGS LÄN</t>
        </is>
      </c>
      <c r="G305" t="inlineStr">
        <is>
          <t>ANEBY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45616</v>
      </c>
      <c r="E306" s="1" t="n">
        <v>46256</v>
      </c>
      <c r="F306" t="inlineStr">
        <is>
          <t>JÖNKÖPINGS LÄN</t>
        </is>
      </c>
      <c r="G306" t="inlineStr">
        <is>
          <t>ANEBY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45408</v>
      </c>
      <c r="E307" s="1" t="n">
        <v>46256</v>
      </c>
      <c r="F307" t="inlineStr">
        <is>
          <t>JÖNKÖPINGS LÄN</t>
        </is>
      </c>
      <c r="G307" t="inlineStr">
        <is>
          <t>ANEBY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46256</v>
      </c>
      <c r="F308" t="inlineStr">
        <is>
          <t>JÖNKÖPINGS LÄN</t>
        </is>
      </c>
      <c r="G308" t="inlineStr">
        <is>
          <t>ANEBY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44978</v>
      </c>
      <c r="E309" s="1" t="n">
        <v>46256</v>
      </c>
      <c r="F309" t="inlineStr">
        <is>
          <t>JÖNKÖPINGS LÄN</t>
        </is>
      </c>
      <c r="G309" t="inlineStr">
        <is>
          <t>ANEBY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46256</v>
      </c>
      <c r="F310" t="inlineStr">
        <is>
          <t>JÖNKÖPINGS LÄN</t>
        </is>
      </c>
      <c r="G310" t="inlineStr">
        <is>
          <t>ANEBY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46256</v>
      </c>
      <c r="F311" t="inlineStr">
        <is>
          <t>JÖNKÖPINGS LÄN</t>
        </is>
      </c>
      <c r="G311" t="inlineStr">
        <is>
          <t>ANEBY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46256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46256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46126-2025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46256</v>
      </c>
      <c r="F314" t="inlineStr">
        <is>
          <t>JÖNKÖPINGS LÄN</t>
        </is>
      </c>
      <c r="G314" t="inlineStr">
        <is>
          <t>ANEBY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45555</v>
      </c>
      <c r="E315" s="1" t="n">
        <v>46256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45184</v>
      </c>
      <c r="E316" s="1" t="n">
        <v>46256</v>
      </c>
      <c r="F316" t="inlineStr">
        <is>
          <t>JÖNKÖPINGS LÄN</t>
        </is>
      </c>
      <c r="G316" t="inlineStr">
        <is>
          <t>ANEBY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46256</v>
      </c>
      <c r="F317" t="inlineStr">
        <is>
          <t>JÖNKÖPINGS LÄN</t>
        </is>
      </c>
      <c r="G317" t="inlineStr">
        <is>
          <t>ANEBY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46254</v>
      </c>
      <c r="E318" s="1" t="n">
        <v>46256</v>
      </c>
      <c r="F318" t="inlineStr">
        <is>
          <t>JÖNKÖPINGS LÄN</t>
        </is>
      </c>
      <c r="G318" t="inlineStr">
        <is>
          <t>ANEBY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45839</v>
      </c>
      <c r="E319" s="1" t="n">
        <v>46256</v>
      </c>
      <c r="F319" t="inlineStr">
        <is>
          <t>JÖNKÖPINGS LÄN</t>
        </is>
      </c>
      <c r="G319" t="inlineStr">
        <is>
          <t>ANEBY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46256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46256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9069-2024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46256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46256</v>
      </c>
      <c r="F323" t="inlineStr">
        <is>
          <t>JÖNKÖPINGS LÄN</t>
        </is>
      </c>
      <c r="G323" t="inlineStr">
        <is>
          <t>ANEBY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51160-2021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44461</v>
      </c>
      <c r="E324" s="1" t="n">
        <v>46256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46256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46256</v>
      </c>
      <c r="F326" t="inlineStr">
        <is>
          <t>JÖNKÖPINGS LÄN</t>
        </is>
      </c>
      <c r="G326" t="inlineStr">
        <is>
          <t>ANEBY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46256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46256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46256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21356-2026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46147</v>
      </c>
      <c r="E330" s="1" t="n">
        <v>46256</v>
      </c>
      <c r="F330" t="inlineStr">
        <is>
          <t>JÖNKÖPINGS LÄN</t>
        </is>
      </c>
      <c r="G330" t="inlineStr">
        <is>
          <t>ANEBY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50069-2024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45600</v>
      </c>
      <c r="E331" s="1" t="n">
        <v>46256</v>
      </c>
      <c r="F331" t="inlineStr">
        <is>
          <t>JÖNKÖPINGS LÄN</t>
        </is>
      </c>
      <c r="G331" t="inlineStr">
        <is>
          <t>ANEBY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46256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44565</v>
      </c>
      <c r="E333" s="1" t="n">
        <v>46256</v>
      </c>
      <c r="F333" t="inlineStr">
        <is>
          <t>JÖNKÖPINGS LÄN</t>
        </is>
      </c>
      <c r="G333" t="inlineStr">
        <is>
          <t>ANEBY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46256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46256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46256</v>
      </c>
      <c r="F336" t="inlineStr">
        <is>
          <t>JÖNKÖPINGS LÄN</t>
        </is>
      </c>
      <c r="G336" t="inlineStr">
        <is>
          <t>ANEBY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46256</v>
      </c>
      <c r="F337" t="inlineStr">
        <is>
          <t>JÖNKÖPINGS LÄN</t>
        </is>
      </c>
      <c r="G337" t="inlineStr">
        <is>
          <t>ANEBY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45198</v>
      </c>
      <c r="E338" s="1" t="n">
        <v>46256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46256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45201</v>
      </c>
      <c r="E340" s="1" t="n">
        <v>46256</v>
      </c>
      <c r="F340" t="inlineStr">
        <is>
          <t>JÖNKÖPINGS LÄN</t>
        </is>
      </c>
      <c r="G340" t="inlineStr">
        <is>
          <t>ANEBY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46256</v>
      </c>
      <c r="F341" t="inlineStr">
        <is>
          <t>JÖNKÖPINGS LÄN</t>
        </is>
      </c>
      <c r="G341" t="inlineStr">
        <is>
          <t>ANEBY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46256</v>
      </c>
      <c r="F342" t="inlineStr">
        <is>
          <t>JÖNKÖPINGS LÄN</t>
        </is>
      </c>
      <c r="G342" t="inlineStr">
        <is>
          <t>ANEBY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46256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46256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46256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46256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46256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46256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46256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46256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46256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46256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46256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46256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46256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46256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2026-08-22T01:50:53Z</dcterms:created>
  <dcterms:modified xmlns:dcterms="http://purl.org/dc/terms/" xmlns:xsi="http://www.w3.org/2001/XMLSchema-instance" xsi:type="dcterms:W3CDTF">2026-08-22T01:50:53Z</dcterms:modified>
</cp:coreProperties>
</file>