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46231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46231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46231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46231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46231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46231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46231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46231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46231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46231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46231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46231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46231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46231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46231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46231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46231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46231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46231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46231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46231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25891-2026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46231</v>
      </c>
      <c r="F37" t="inlineStr">
        <is>
          <t>JÖNKÖPINGS LÄN</t>
        </is>
      </c>
      <c r="G37" t="inlineStr">
        <is>
          <t>ANEBY</t>
        </is>
      </c>
      <c r="I37" t="n">
        <v>5.6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Stor ängsmaskros</t>
        </is>
      </c>
      <c r="W37">
        <f>HYPERLINK("https://klasma.github.io/Logging_0604/artfynd/A 25891-2026 artfynd.xlsx", "A 25891-2026")</f>
        <v/>
      </c>
      <c r="X37">
        <f>HYPERLINK("https://klasma.github.io/Logging_0604/kartor/A 25891-2026 karta.png", "A 25891-2026")</f>
        <v/>
      </c>
      <c r="Y37">
        <f>HYPERLINK("https://klasma.github.io/Logging_0604/kartor_geotiff/A 25891-2026 georefererad karta.tif", "A 25891-2026")</f>
        <v/>
      </c>
      <c r="AA37">
        <f>HYPERLINK("https://klasma.github.io/Logging_0604/klagomål/A 25891-2026 FSC-klagomål.docx", "A 25891-2026")</f>
        <v/>
      </c>
      <c r="AB37">
        <f>HYPERLINK("https://klasma.github.io/Logging_0604/klagomålsmail/A 25891-2026 FSC-klagomål mail.docx", "A 25891-2026")</f>
        <v/>
      </c>
      <c r="AC37">
        <f>HYPERLINK("https://klasma.github.io/Logging_0604/tillsyn/A 25891-2026 tillsynsbegäran.docx", "A 25891-2026")</f>
        <v/>
      </c>
      <c r="AD37">
        <f>HYPERLINK("https://klasma.github.io/Logging_0604/tillsynsmail/A 25891-2026 tillsynsbegäran mail.docx", "A 25891-2026")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46231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46231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46231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46231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46231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46231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46231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46231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46231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46231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46231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46231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46231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46231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46231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46231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46231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46231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46231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46231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46231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46231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46231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46231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46231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46231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46231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46231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46231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46231</v>
      </c>
      <c r="F84" t="inlineStr">
        <is>
          <t>JÖNKÖPINGS LÄN</t>
        </is>
      </c>
      <c r="G84" t="inlineStr">
        <is>
          <t>ANEBY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46231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46231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46231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46231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46231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46231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46231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46231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46231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46231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46231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46231</v>
      </c>
      <c r="F96" t="inlineStr">
        <is>
          <t>JÖNKÖPINGS LÄN</t>
        </is>
      </c>
      <c r="G96" t="inlineStr">
        <is>
          <t>ANEBY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35555-2024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46231</v>
      </c>
      <c r="F97" t="inlineStr">
        <is>
          <t>JÖNKÖPINGS LÄN</t>
        </is>
      </c>
      <c r="G97" t="inlineStr">
        <is>
          <t>ANEBY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45275</v>
      </c>
      <c r="E98" s="1" t="n">
        <v>46231</v>
      </c>
      <c r="F98" t="inlineStr">
        <is>
          <t>JÖNKÖPINGS LÄN</t>
        </is>
      </c>
      <c r="G98" t="inlineStr">
        <is>
          <t>ANEBY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45467</v>
      </c>
      <c r="E99" s="1" t="n">
        <v>46231</v>
      </c>
      <c r="F99" t="inlineStr">
        <is>
          <t>JÖNKÖPINGS LÄN</t>
        </is>
      </c>
      <c r="G99" t="inlineStr">
        <is>
          <t>ANEBY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  <c r="Z99">
        <f>HYPERLINK("https://klasma.github.io/Logging_0604/knärot/A 25963-2024 karta knärot.png", "A 25963-2024")</f>
        <v/>
      </c>
      <c r="AA99">
        <f>HYPERLINK("https://klasma.github.io/Logging_0604/klagomål/A 25963-2024 FSC-klagomål.docx", "A 25963-2024")</f>
        <v/>
      </c>
      <c r="AB99">
        <f>HYPERLINK("https://klasma.github.io/Logging_0604/klagomålsmail/A 25963-2024 FSC-klagomål mail.docx", "A 25963-2024")</f>
        <v/>
      </c>
      <c r="AC99">
        <f>HYPERLINK("https://klasma.github.io/Logging_0604/tillsyn/A 25963-2024 tillsynsbegäran.docx", "A 25963-2024")</f>
        <v/>
      </c>
      <c r="AD99">
        <f>HYPERLINK("https://klasma.github.io/Logging_0604/tillsynsmail/A 25963-2024 tillsynsbegäran mail.docx", "A 25963-2024")</f>
        <v/>
      </c>
    </row>
    <row r="100" ht="15" customHeight="1">
      <c r="A100" t="inlineStr">
        <is>
          <t>A 37343-2023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45156</v>
      </c>
      <c r="E100" s="1" t="n">
        <v>46231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46231</v>
      </c>
      <c r="F101" t="inlineStr">
        <is>
          <t>JÖNKÖPINGS LÄN</t>
        </is>
      </c>
      <c r="G101" t="inlineStr">
        <is>
          <t>ANEBY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46231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46231</v>
      </c>
      <c r="F103" t="inlineStr">
        <is>
          <t>JÖNKÖPINGS LÄN</t>
        </is>
      </c>
      <c r="G103" t="inlineStr">
        <is>
          <t>ANEBY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27714-2024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45475</v>
      </c>
      <c r="E104" s="1" t="n">
        <v>46231</v>
      </c>
      <c r="F104" t="inlineStr">
        <is>
          <t>JÖNKÖPINGS LÄN</t>
        </is>
      </c>
      <c r="G104" t="inlineStr">
        <is>
          <t>ANEBY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46231</v>
      </c>
      <c r="F105" t="inlineStr">
        <is>
          <t>JÖNKÖPINGS LÄN</t>
        </is>
      </c>
      <c r="G105" t="inlineStr">
        <is>
          <t>ANEBY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46231</v>
      </c>
      <c r="F106" t="inlineStr">
        <is>
          <t>JÖNKÖPINGS LÄN</t>
        </is>
      </c>
      <c r="G106" t="inlineStr">
        <is>
          <t>ANEBY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46231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46231</v>
      </c>
      <c r="F108" t="inlineStr">
        <is>
          <t>JÖNKÖPINGS LÄN</t>
        </is>
      </c>
      <c r="G108" t="inlineStr">
        <is>
          <t>ANEBY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12477-2023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44999</v>
      </c>
      <c r="E109" s="1" t="n">
        <v>46231</v>
      </c>
      <c r="F109" t="inlineStr">
        <is>
          <t>JÖNKÖPINGS LÄN</t>
        </is>
      </c>
      <c r="G109" t="inlineStr">
        <is>
          <t>ANEBY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46231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16.8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46231</v>
      </c>
      <c r="F111" t="inlineStr">
        <is>
          <t>JÖNKÖPINGS LÄN</t>
        </is>
      </c>
      <c r="G111" t="inlineStr">
        <is>
          <t>ANEBY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21026-2024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45439</v>
      </c>
      <c r="E112" s="1" t="n">
        <v>46231</v>
      </c>
      <c r="F112" t="inlineStr">
        <is>
          <t>JÖNKÖPINGS LÄN</t>
        </is>
      </c>
      <c r="G112" t="inlineStr">
        <is>
          <t>ANEBY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46231</v>
      </c>
      <c r="F113" t="inlineStr">
        <is>
          <t>JÖNKÖPINGS LÄN</t>
        </is>
      </c>
      <c r="G113" t="inlineStr">
        <is>
          <t>ANEBY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6827-2026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46057</v>
      </c>
      <c r="E114" s="1" t="n">
        <v>46231</v>
      </c>
      <c r="F114" t="inlineStr">
        <is>
          <t>JÖNKÖPINGS LÄN</t>
        </is>
      </c>
      <c r="G114" t="inlineStr">
        <is>
          <t>ANEBY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46231</v>
      </c>
      <c r="F115" t="inlineStr">
        <is>
          <t>JÖNKÖPINGS LÄN</t>
        </is>
      </c>
      <c r="G115" t="inlineStr">
        <is>
          <t>ANEBY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7263-2026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46058</v>
      </c>
      <c r="E116" s="1" t="n">
        <v>46231</v>
      </c>
      <c r="F116" t="inlineStr">
        <is>
          <t>JÖNKÖPINGS LÄN</t>
        </is>
      </c>
      <c r="G116" t="inlineStr">
        <is>
          <t>ANEBY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46231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46231</v>
      </c>
      <c r="F118" t="inlineStr">
        <is>
          <t>JÖNKÖPINGS LÄN</t>
        </is>
      </c>
      <c r="G118" t="inlineStr">
        <is>
          <t>ANEBY</t>
        </is>
      </c>
      <c r="H118" t="inlineStr">
        <is>
          <t>Övriga Aktiebolag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46231</v>
      </c>
      <c r="F119" t="inlineStr">
        <is>
          <t>JÖNKÖPINGS LÄN</t>
        </is>
      </c>
      <c r="G119" t="inlineStr">
        <is>
          <t>ANEBY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46231</v>
      </c>
      <c r="F120" t="inlineStr">
        <is>
          <t>JÖNKÖPINGS LÄN</t>
        </is>
      </c>
      <c r="G120" t="inlineStr">
        <is>
          <t>ANEBY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46231</v>
      </c>
      <c r="F121" t="inlineStr">
        <is>
          <t>JÖNKÖPINGS LÄN</t>
        </is>
      </c>
      <c r="G121" t="inlineStr">
        <is>
          <t>ANEBY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46231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46231</v>
      </c>
      <c r="F123" t="inlineStr">
        <is>
          <t>JÖNKÖPINGS LÄN</t>
        </is>
      </c>
      <c r="G123" t="inlineStr">
        <is>
          <t>ANEBY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46231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45838</v>
      </c>
      <c r="E125" s="1" t="n">
        <v>46231</v>
      </c>
      <c r="F125" t="inlineStr">
        <is>
          <t>JÖNKÖPINGS LÄN</t>
        </is>
      </c>
      <c r="G125" t="inlineStr">
        <is>
          <t>ANEBY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46231</v>
      </c>
      <c r="F126" t="inlineStr">
        <is>
          <t>JÖNKÖPINGS LÄN</t>
        </is>
      </c>
      <c r="G126" t="inlineStr">
        <is>
          <t>ANEBY</t>
        </is>
      </c>
      <c r="H126" t="inlineStr">
        <is>
          <t>Sveaskog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46231</v>
      </c>
      <c r="F127" t="inlineStr">
        <is>
          <t>JÖNKÖPINGS LÄN</t>
        </is>
      </c>
      <c r="G127" t="inlineStr">
        <is>
          <t>ANEBY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46231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46076</v>
      </c>
      <c r="E129" s="1" t="n">
        <v>46231</v>
      </c>
      <c r="F129" t="inlineStr">
        <is>
          <t>JÖNKÖPINGS LÄN</t>
        </is>
      </c>
      <c r="G129" t="inlineStr">
        <is>
          <t>ANEBY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46073</v>
      </c>
      <c r="E130" s="1" t="n">
        <v>46231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46231</v>
      </c>
      <c r="F131" t="inlineStr">
        <is>
          <t>JÖNKÖPINGS LÄN</t>
        </is>
      </c>
      <c r="G131" t="inlineStr">
        <is>
          <t>ANEBY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46231</v>
      </c>
      <c r="F132" t="inlineStr">
        <is>
          <t>JÖNKÖPINGS LÄN</t>
        </is>
      </c>
      <c r="G132" t="inlineStr">
        <is>
          <t>ANEBY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46231</v>
      </c>
      <c r="F133" t="inlineStr">
        <is>
          <t>JÖNKÖPINGS LÄN</t>
        </is>
      </c>
      <c r="G133" t="inlineStr">
        <is>
          <t>ANEBY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46231</v>
      </c>
      <c r="F134" t="inlineStr">
        <is>
          <t>JÖNKÖPINGS LÄN</t>
        </is>
      </c>
      <c r="G134" t="inlineStr">
        <is>
          <t>ANEBY</t>
        </is>
      </c>
      <c r="H134" t="inlineStr">
        <is>
          <t>Övriga Aktiebolag</t>
        </is>
      </c>
      <c r="I134" t="n">
        <v>18.6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46231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46231</v>
      </c>
      <c r="F136" t="inlineStr">
        <is>
          <t>JÖNKÖPINGS LÄN</t>
        </is>
      </c>
      <c r="G136" t="inlineStr">
        <is>
          <t>ANEBY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46231</v>
      </c>
      <c r="F137" t="inlineStr">
        <is>
          <t>JÖNKÖPINGS LÄN</t>
        </is>
      </c>
      <c r="G137" t="inlineStr">
        <is>
          <t>ANEBY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46231</v>
      </c>
      <c r="F138" t="inlineStr">
        <is>
          <t>JÖNKÖPINGS LÄN</t>
        </is>
      </c>
      <c r="G138" t="inlineStr">
        <is>
          <t>ANEBY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46231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46231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45727</v>
      </c>
      <c r="E141" s="1" t="n">
        <v>46231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46231</v>
      </c>
      <c r="F142" t="inlineStr">
        <is>
          <t>JÖNKÖPINGS LÄN</t>
        </is>
      </c>
      <c r="G142" t="inlineStr">
        <is>
          <t>ANEBY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46231</v>
      </c>
      <c r="F143" t="inlineStr">
        <is>
          <t>JÖNKÖPINGS LÄN</t>
        </is>
      </c>
      <c r="G143" t="inlineStr">
        <is>
          <t>ANEBY</t>
        </is>
      </c>
      <c r="H143" t="inlineStr">
        <is>
          <t>Kyrkan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46231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46231</v>
      </c>
      <c r="F145" t="inlineStr">
        <is>
          <t>JÖNKÖPINGS LÄN</t>
        </is>
      </c>
      <c r="G145" t="inlineStr">
        <is>
          <t>ANEBY</t>
        </is>
      </c>
      <c r="H145" t="inlineStr">
        <is>
          <t>Övriga Aktiebolag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46231</v>
      </c>
      <c r="F146" t="inlineStr">
        <is>
          <t>JÖNKÖPINGS LÄN</t>
        </is>
      </c>
      <c r="G146" t="inlineStr">
        <is>
          <t>ANEBY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46231</v>
      </c>
      <c r="F147" t="inlineStr">
        <is>
          <t>JÖNKÖPINGS LÄN</t>
        </is>
      </c>
      <c r="G147" t="inlineStr">
        <is>
          <t>ANEBY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45020</v>
      </c>
      <c r="E148" s="1" t="n">
        <v>46231</v>
      </c>
      <c r="F148" t="inlineStr">
        <is>
          <t>JÖNKÖPINGS LÄN</t>
        </is>
      </c>
      <c r="G148" t="inlineStr">
        <is>
          <t>ANEBY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46231</v>
      </c>
      <c r="F149" t="inlineStr">
        <is>
          <t>JÖNKÖPINGS LÄN</t>
        </is>
      </c>
      <c r="G149" t="inlineStr">
        <is>
          <t>ANEBY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46231</v>
      </c>
      <c r="F150" t="inlineStr">
        <is>
          <t>JÖNKÖPINGS LÄN</t>
        </is>
      </c>
      <c r="G150" t="inlineStr">
        <is>
          <t>ANEBY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46231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46231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46231</v>
      </c>
      <c r="F153" t="inlineStr">
        <is>
          <t>JÖNKÖPINGS LÄN</t>
        </is>
      </c>
      <c r="G153" t="inlineStr">
        <is>
          <t>ANEBY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44851</v>
      </c>
      <c r="E154" s="1" t="n">
        <v>46231</v>
      </c>
      <c r="F154" t="inlineStr">
        <is>
          <t>JÖNKÖPINGS LÄN</t>
        </is>
      </c>
      <c r="G154" t="inlineStr">
        <is>
          <t>ANEBY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46231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46231</v>
      </c>
      <c r="F156" t="inlineStr">
        <is>
          <t>JÖNKÖPINGS LÄN</t>
        </is>
      </c>
      <c r="G156" t="inlineStr">
        <is>
          <t>ANEBY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45357</v>
      </c>
      <c r="E157" s="1" t="n">
        <v>46231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46231</v>
      </c>
      <c r="F158" t="inlineStr">
        <is>
          <t>JÖNKÖPINGS LÄN</t>
        </is>
      </c>
      <c r="G158" t="inlineStr">
        <is>
          <t>ANEBY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44461</v>
      </c>
      <c r="E159" s="1" t="n">
        <v>46231</v>
      </c>
      <c r="F159" t="inlineStr">
        <is>
          <t>JÖNKÖPINGS LÄN</t>
        </is>
      </c>
      <c r="G159" t="inlineStr">
        <is>
          <t>ANEBY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46231</v>
      </c>
      <c r="F160" t="inlineStr">
        <is>
          <t>JÖNKÖPINGS LÄN</t>
        </is>
      </c>
      <c r="G160" t="inlineStr">
        <is>
          <t>ANEBY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46231</v>
      </c>
      <c r="F161" t="inlineStr">
        <is>
          <t>JÖNKÖPINGS LÄN</t>
        </is>
      </c>
      <c r="G161" t="inlineStr">
        <is>
          <t>ANEBY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46231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45141</v>
      </c>
      <c r="E163" s="1" t="n">
        <v>46231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46231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46231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45379</v>
      </c>
      <c r="E166" s="1" t="n">
        <v>46231</v>
      </c>
      <c r="F166" t="inlineStr">
        <is>
          <t>JÖNKÖPINGS LÄN</t>
        </is>
      </c>
      <c r="G166" t="inlineStr">
        <is>
          <t>ANEBY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46231</v>
      </c>
      <c r="F167" t="inlineStr">
        <is>
          <t>JÖNKÖPINGS LÄN</t>
        </is>
      </c>
      <c r="G167" t="inlineStr">
        <is>
          <t>ANEBY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46231</v>
      </c>
      <c r="F168" t="inlineStr">
        <is>
          <t>JÖNKÖPINGS LÄN</t>
        </is>
      </c>
      <c r="G168" t="inlineStr">
        <is>
          <t>ANEBY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43613-2023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45184</v>
      </c>
      <c r="E169" s="1" t="n">
        <v>46231</v>
      </c>
      <c r="F169" t="inlineStr">
        <is>
          <t>JÖNKÖPINGS LÄN</t>
        </is>
      </c>
      <c r="G169" t="inlineStr">
        <is>
          <t>ANEBY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46231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46231</v>
      </c>
      <c r="F171" t="inlineStr">
        <is>
          <t>JÖNKÖPINGS LÄN</t>
        </is>
      </c>
      <c r="G171" t="inlineStr">
        <is>
          <t>ANEBY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46231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44482</v>
      </c>
      <c r="E173" s="1" t="n">
        <v>46231</v>
      </c>
      <c r="F173" t="inlineStr">
        <is>
          <t>JÖNKÖPINGS LÄN</t>
        </is>
      </c>
      <c r="G173" t="inlineStr">
        <is>
          <t>ANEBY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23349-2023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45076</v>
      </c>
      <c r="E174" s="1" t="n">
        <v>46231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46231</v>
      </c>
      <c r="F175" t="inlineStr">
        <is>
          <t>JÖNKÖPINGS LÄN</t>
        </is>
      </c>
      <c r="G175" t="inlineStr">
        <is>
          <t>ANEBY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46231</v>
      </c>
      <c r="F176" t="inlineStr">
        <is>
          <t>JÖNKÖPINGS LÄN</t>
        </is>
      </c>
      <c r="G176" t="inlineStr">
        <is>
          <t>ANEBY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45028</v>
      </c>
      <c r="E177" s="1" t="n">
        <v>46231</v>
      </c>
      <c r="F177" t="inlineStr">
        <is>
          <t>JÖNKÖPINGS LÄN</t>
        </is>
      </c>
      <c r="G177" t="inlineStr">
        <is>
          <t>ANEBY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45182</v>
      </c>
      <c r="E178" s="1" t="n">
        <v>46231</v>
      </c>
      <c r="F178" t="inlineStr">
        <is>
          <t>JÖNKÖPINGS LÄN</t>
        </is>
      </c>
      <c r="G178" t="inlineStr">
        <is>
          <t>ANEBY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46231</v>
      </c>
      <c r="F179" t="inlineStr">
        <is>
          <t>JÖNKÖPINGS LÄN</t>
        </is>
      </c>
      <c r="G179" t="inlineStr">
        <is>
          <t>ANEBY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46231</v>
      </c>
      <c r="F180" t="inlineStr">
        <is>
          <t>JÖNKÖPINGS LÄN</t>
        </is>
      </c>
      <c r="G180" t="inlineStr">
        <is>
          <t>ANEBY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45653</v>
      </c>
      <c r="E181" s="1" t="n">
        <v>46231</v>
      </c>
      <c r="F181" t="inlineStr">
        <is>
          <t>JÖNKÖPINGS LÄN</t>
        </is>
      </c>
      <c r="G181" t="inlineStr">
        <is>
          <t>ANEBY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46231</v>
      </c>
      <c r="F182" t="inlineStr">
        <is>
          <t>JÖNKÖPINGS LÄN</t>
        </is>
      </c>
      <c r="G182" t="inlineStr">
        <is>
          <t>ANEBY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45691</v>
      </c>
      <c r="E183" s="1" t="n">
        <v>46231</v>
      </c>
      <c r="F183" t="inlineStr">
        <is>
          <t>JÖNKÖPINGS LÄN</t>
        </is>
      </c>
      <c r="G183" t="inlineStr">
        <is>
          <t>ANEBY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44477</v>
      </c>
      <c r="E184" s="1" t="n">
        <v>46231</v>
      </c>
      <c r="F184" t="inlineStr">
        <is>
          <t>JÖNKÖPINGS LÄN</t>
        </is>
      </c>
      <c r="G184" t="inlineStr">
        <is>
          <t>ANEBY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43528-2025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45911</v>
      </c>
      <c r="E185" s="1" t="n">
        <v>46231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45033</v>
      </c>
      <c r="E186" s="1" t="n">
        <v>46231</v>
      </c>
      <c r="F186" t="inlineStr">
        <is>
          <t>JÖNKÖPINGS LÄN</t>
        </is>
      </c>
      <c r="G186" t="inlineStr">
        <is>
          <t>ANEBY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46231</v>
      </c>
      <c r="F187" t="inlineStr">
        <is>
          <t>JÖNKÖPINGS LÄN</t>
        </is>
      </c>
      <c r="G187" t="inlineStr">
        <is>
          <t>ANEBY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45924</v>
      </c>
      <c r="E188" s="1" t="n">
        <v>46231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46231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46231</v>
      </c>
      <c r="F190" t="inlineStr">
        <is>
          <t>JÖNKÖPINGS LÄN</t>
        </is>
      </c>
      <c r="G190" t="inlineStr">
        <is>
          <t>ANEBY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46231</v>
      </c>
      <c r="F191" t="inlineStr">
        <is>
          <t>JÖNKÖPINGS LÄN</t>
        </is>
      </c>
      <c r="G191" t="inlineStr">
        <is>
          <t>ANEBY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44606</v>
      </c>
      <c r="E192" s="1" t="n">
        <v>46231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46231</v>
      </c>
      <c r="F193" t="inlineStr">
        <is>
          <t>JÖNKÖPINGS LÄN</t>
        </is>
      </c>
      <c r="G193" t="inlineStr">
        <is>
          <t>ANEBY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23354-2023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45076</v>
      </c>
      <c r="E194" s="1" t="n">
        <v>46231</v>
      </c>
      <c r="F194" t="inlineStr">
        <is>
          <t>JÖNKÖPINGS LÄN</t>
        </is>
      </c>
      <c r="G194" t="inlineStr">
        <is>
          <t>ANEBY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45028</v>
      </c>
      <c r="E195" s="1" t="n">
        <v>46231</v>
      </c>
      <c r="F195" t="inlineStr">
        <is>
          <t>JÖNKÖPINGS LÄN</t>
        </is>
      </c>
      <c r="G195" t="inlineStr">
        <is>
          <t>ANEBY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46231</v>
      </c>
      <c r="F196" t="inlineStr">
        <is>
          <t>JÖNKÖPINGS LÄN</t>
        </is>
      </c>
      <c r="G196" t="inlineStr">
        <is>
          <t>ANEBY</t>
        </is>
      </c>
      <c r="I196" t="n">
        <v>13.8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46231</v>
      </c>
      <c r="F197" t="inlineStr">
        <is>
          <t>JÖNKÖPINGS LÄN</t>
        </is>
      </c>
      <c r="G197" t="inlineStr">
        <is>
          <t>ANEBY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45236</v>
      </c>
      <c r="E198" s="1" t="n">
        <v>46231</v>
      </c>
      <c r="F198" t="inlineStr">
        <is>
          <t>JÖNKÖPINGS LÄN</t>
        </is>
      </c>
      <c r="G198" t="inlineStr">
        <is>
          <t>ANEBY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51185-2021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46231</v>
      </c>
      <c r="F199" t="inlineStr">
        <is>
          <t>JÖNKÖPINGS LÄN</t>
        </is>
      </c>
      <c r="G199" t="inlineStr">
        <is>
          <t>ANEBY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46231</v>
      </c>
      <c r="F200" t="inlineStr">
        <is>
          <t>JÖNKÖPINGS LÄN</t>
        </is>
      </c>
      <c r="G200" t="inlineStr">
        <is>
          <t>ANEBY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46231</v>
      </c>
      <c r="F201" t="inlineStr">
        <is>
          <t>JÖNKÖPINGS LÄN</t>
        </is>
      </c>
      <c r="G201" t="inlineStr">
        <is>
          <t>ANEBY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46231</v>
      </c>
      <c r="F202" t="inlineStr">
        <is>
          <t>JÖNKÖPINGS LÄN</t>
        </is>
      </c>
      <c r="G202" t="inlineStr">
        <is>
          <t>ANEBY</t>
        </is>
      </c>
      <c r="I202" t="n">
        <v>17.9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21356-2026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46147</v>
      </c>
      <c r="E203" s="1" t="n">
        <v>46231</v>
      </c>
      <c r="F203" t="inlineStr">
        <is>
          <t>JÖNKÖPINGS LÄN</t>
        </is>
      </c>
      <c r="G203" t="inlineStr">
        <is>
          <t>ANEBY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46231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46231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46231</v>
      </c>
      <c r="F206" t="inlineStr">
        <is>
          <t>JÖNKÖPINGS LÄN</t>
        </is>
      </c>
      <c r="G206" t="inlineStr">
        <is>
          <t>ANEBY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46231</v>
      </c>
      <c r="F207" t="inlineStr">
        <is>
          <t>JÖNKÖPINGS LÄN</t>
        </is>
      </c>
      <c r="G207" t="inlineStr">
        <is>
          <t>ANEBY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59507-2022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44900</v>
      </c>
      <c r="E208" s="1" t="n">
        <v>46231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46231</v>
      </c>
      <c r="F209" t="inlineStr">
        <is>
          <t>JÖNKÖPINGS LÄN</t>
        </is>
      </c>
      <c r="G209" t="inlineStr">
        <is>
          <t>ANEBY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46231</v>
      </c>
      <c r="F210" t="inlineStr">
        <is>
          <t>JÖNKÖPINGS LÄN</t>
        </is>
      </c>
      <c r="G210" t="inlineStr">
        <is>
          <t>ANEBY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46231</v>
      </c>
      <c r="F211" t="inlineStr">
        <is>
          <t>JÖNKÖPINGS LÄN</t>
        </is>
      </c>
      <c r="G211" t="inlineStr">
        <is>
          <t>ANEBY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46231</v>
      </c>
      <c r="F212" t="inlineStr">
        <is>
          <t>JÖNKÖPINGS LÄN</t>
        </is>
      </c>
      <c r="G212" t="inlineStr">
        <is>
          <t>ANEBY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46231</v>
      </c>
      <c r="F213" t="inlineStr">
        <is>
          <t>JÖNKÖPINGS LÄN</t>
        </is>
      </c>
      <c r="G213" t="inlineStr">
        <is>
          <t>ANEBY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45379</v>
      </c>
      <c r="E214" s="1" t="n">
        <v>46231</v>
      </c>
      <c r="F214" t="inlineStr">
        <is>
          <t>JÖNKÖPINGS LÄN</t>
        </is>
      </c>
      <c r="G214" t="inlineStr">
        <is>
          <t>ANEBY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45122</v>
      </c>
      <c r="E215" s="1" t="n">
        <v>46231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46231</v>
      </c>
      <c r="F216" t="inlineStr">
        <is>
          <t>JÖNKÖPINGS LÄN</t>
        </is>
      </c>
      <c r="G216" t="inlineStr">
        <is>
          <t>ANEBY</t>
        </is>
      </c>
      <c r="H216" t="inlineStr">
        <is>
          <t>Kyrkan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46231</v>
      </c>
      <c r="F217" t="inlineStr">
        <is>
          <t>JÖNKÖPINGS LÄN</t>
        </is>
      </c>
      <c r="G217" t="inlineStr">
        <is>
          <t>ANEBY</t>
        </is>
      </c>
      <c r="H217" t="inlineStr">
        <is>
          <t>Kyrkan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46231</v>
      </c>
      <c r="F218" t="inlineStr">
        <is>
          <t>JÖNKÖPINGS LÄN</t>
        </is>
      </c>
      <c r="G218" t="inlineStr">
        <is>
          <t>ANEBY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46231</v>
      </c>
      <c r="F219" t="inlineStr">
        <is>
          <t>JÖNKÖPINGS LÄN</t>
        </is>
      </c>
      <c r="G219" t="inlineStr">
        <is>
          <t>ANEBY</t>
        </is>
      </c>
      <c r="H219" t="inlineStr">
        <is>
          <t>Kyrkan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46231</v>
      </c>
      <c r="F220" t="inlineStr">
        <is>
          <t>JÖNKÖPINGS LÄN</t>
        </is>
      </c>
      <c r="G220" t="inlineStr">
        <is>
          <t>ANEBY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46231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45304</v>
      </c>
      <c r="E222" s="1" t="n">
        <v>46231</v>
      </c>
      <c r="F222" t="inlineStr">
        <is>
          <t>JÖNKÖPINGS LÄN</t>
        </is>
      </c>
      <c r="G222" t="inlineStr">
        <is>
          <t>ANEBY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46231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38794-2023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45161</v>
      </c>
      <c r="E224" s="1" t="n">
        <v>46231</v>
      </c>
      <c r="F224" t="inlineStr">
        <is>
          <t>JÖNKÖPINGS LÄN</t>
        </is>
      </c>
      <c r="G224" t="inlineStr">
        <is>
          <t>ANEBY</t>
        </is>
      </c>
      <c r="H224" t="inlineStr">
        <is>
          <t>Övriga Aktiebolag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46231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46231</v>
      </c>
      <c r="F226" t="inlineStr">
        <is>
          <t>JÖNKÖPINGS LÄN</t>
        </is>
      </c>
      <c r="G226" t="inlineStr">
        <is>
          <t>ANEBY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46231</v>
      </c>
      <c r="F227" t="inlineStr">
        <is>
          <t>JÖNKÖPINGS LÄN</t>
        </is>
      </c>
      <c r="G227" t="inlineStr">
        <is>
          <t>ANEBY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46231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39685-2024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45552</v>
      </c>
      <c r="E229" s="1" t="n">
        <v>46231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46231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46231</v>
      </c>
      <c r="F231" t="inlineStr">
        <is>
          <t>JÖNKÖPINGS LÄN</t>
        </is>
      </c>
      <c r="G231" t="inlineStr">
        <is>
          <t>ANEBY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51160-2021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44461</v>
      </c>
      <c r="E232" s="1" t="n">
        <v>46231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46231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45600</v>
      </c>
      <c r="E234" s="1" t="n">
        <v>46231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54213-2024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45616</v>
      </c>
      <c r="E235" s="1" t="n">
        <v>46231</v>
      </c>
      <c r="F235" t="inlineStr">
        <is>
          <t>JÖNKÖPINGS LÄN</t>
        </is>
      </c>
      <c r="G235" t="inlineStr">
        <is>
          <t>ANEBY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46231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44578</v>
      </c>
      <c r="E237" s="1" t="n">
        <v>46231</v>
      </c>
      <c r="F237" t="inlineStr">
        <is>
          <t>JÖNKÖPINGS LÄN</t>
        </is>
      </c>
      <c r="G237" t="inlineStr">
        <is>
          <t>ANEBY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46231</v>
      </c>
      <c r="F238" t="inlineStr">
        <is>
          <t>JÖNKÖPINGS LÄN</t>
        </is>
      </c>
      <c r="G238" t="inlineStr">
        <is>
          <t>ANEBY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46231</v>
      </c>
      <c r="F239" t="inlineStr">
        <is>
          <t>JÖNKÖPINGS LÄN</t>
        </is>
      </c>
      <c r="G239" t="inlineStr">
        <is>
          <t>ANEBY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45124</v>
      </c>
      <c r="E240" s="1" t="n">
        <v>46231</v>
      </c>
      <c r="F240" t="inlineStr">
        <is>
          <t>JÖNKÖPINGS LÄN</t>
        </is>
      </c>
      <c r="G240" t="inlineStr">
        <is>
          <t>ANEBY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46231</v>
      </c>
      <c r="F241" t="inlineStr">
        <is>
          <t>JÖNKÖPINGS LÄN</t>
        </is>
      </c>
      <c r="G241" t="inlineStr">
        <is>
          <t>ANEBY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46231</v>
      </c>
      <c r="F242" t="inlineStr">
        <is>
          <t>JÖNKÖPINGS LÄN</t>
        </is>
      </c>
      <c r="G242" t="inlineStr">
        <is>
          <t>ANEBY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46231</v>
      </c>
      <c r="F243" t="inlineStr">
        <is>
          <t>JÖNKÖPINGS LÄN</t>
        </is>
      </c>
      <c r="G243" t="inlineStr">
        <is>
          <t>ANEBY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46231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45198</v>
      </c>
      <c r="E245" s="1" t="n">
        <v>46231</v>
      </c>
      <c r="F245" t="inlineStr">
        <is>
          <t>JÖNKÖPINGS LÄN</t>
        </is>
      </c>
      <c r="G245" t="inlineStr">
        <is>
          <t>ANEBY</t>
        </is>
      </c>
      <c r="H245" t="inlineStr">
        <is>
          <t>Sveaskog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46231</v>
      </c>
      <c r="F246" t="inlineStr">
        <is>
          <t>JÖNKÖPINGS LÄN</t>
        </is>
      </c>
      <c r="G246" t="inlineStr">
        <is>
          <t>ANEBY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46231</v>
      </c>
      <c r="F247" t="inlineStr">
        <is>
          <t>JÖNKÖPINGS LÄN</t>
        </is>
      </c>
      <c r="G247" t="inlineStr">
        <is>
          <t>ANEBY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46231</v>
      </c>
      <c r="F248" t="inlineStr">
        <is>
          <t>JÖNKÖPINGS LÄN</t>
        </is>
      </c>
      <c r="G248" t="inlineStr">
        <is>
          <t>ANEBY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46231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46231</v>
      </c>
      <c r="F250" t="inlineStr">
        <is>
          <t>JÖNKÖPINGS LÄN</t>
        </is>
      </c>
      <c r="G250" t="inlineStr">
        <is>
          <t>ANEBY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46231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46231</v>
      </c>
      <c r="F252" t="inlineStr">
        <is>
          <t>JÖNKÖPINGS LÄN</t>
        </is>
      </c>
      <c r="G252" t="inlineStr">
        <is>
          <t>ANEBY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46231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10155-2024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45364</v>
      </c>
      <c r="E254" s="1" t="n">
        <v>46231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46214</v>
      </c>
      <c r="E255" s="1" t="n">
        <v>46231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46214</v>
      </c>
      <c r="E256" s="1" t="n">
        <v>46231</v>
      </c>
      <c r="F256" t="inlineStr">
        <is>
          <t>JÖNKÖPINGS LÄN</t>
        </is>
      </c>
      <c r="G256" t="inlineStr">
        <is>
          <t>ANEBY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46214</v>
      </c>
      <c r="E257" s="1" t="n">
        <v>46231</v>
      </c>
      <c r="F257" t="inlineStr">
        <is>
          <t>JÖNKÖPINGS LÄN</t>
        </is>
      </c>
      <c r="G257" t="inlineStr">
        <is>
          <t>ANEBY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46171</v>
      </c>
      <c r="E258" s="1" t="n">
        <v>46231</v>
      </c>
      <c r="F258" t="inlineStr">
        <is>
          <t>JÖNKÖPINGS LÄN</t>
        </is>
      </c>
      <c r="G258" t="inlineStr">
        <is>
          <t>ANEBY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46231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46231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46231</v>
      </c>
      <c r="F261" t="inlineStr">
        <is>
          <t>JÖNKÖPINGS LÄN</t>
        </is>
      </c>
      <c r="G261" t="inlineStr">
        <is>
          <t>ANEBY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46231</v>
      </c>
      <c r="F262" t="inlineStr">
        <is>
          <t>JÖNKÖPINGS LÄN</t>
        </is>
      </c>
      <c r="G262" t="inlineStr">
        <is>
          <t>ANEBY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46231</v>
      </c>
      <c r="F263" t="inlineStr">
        <is>
          <t>JÖNKÖPINGS LÄN</t>
        </is>
      </c>
      <c r="G263" t="inlineStr">
        <is>
          <t>ANEBY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46231</v>
      </c>
      <c r="F264" t="inlineStr">
        <is>
          <t>JÖNKÖPINGS LÄN</t>
        </is>
      </c>
      <c r="G264" t="inlineStr">
        <is>
          <t>ANEBY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46231</v>
      </c>
      <c r="F265" t="inlineStr">
        <is>
          <t>JÖNKÖPINGS LÄN</t>
        </is>
      </c>
      <c r="G265" t="inlineStr">
        <is>
          <t>ANEBY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46231</v>
      </c>
      <c r="F266" t="inlineStr">
        <is>
          <t>JÖNKÖPINGS LÄN</t>
        </is>
      </c>
      <c r="G266" t="inlineStr">
        <is>
          <t>ANEBY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46231</v>
      </c>
      <c r="F267" t="inlineStr">
        <is>
          <t>JÖNKÖPINGS LÄN</t>
        </is>
      </c>
      <c r="G267" t="inlineStr">
        <is>
          <t>ANEBY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46231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44678</v>
      </c>
      <c r="E269" s="1" t="n">
        <v>46231</v>
      </c>
      <c r="F269" t="inlineStr">
        <is>
          <t>JÖNKÖPINGS LÄN</t>
        </is>
      </c>
      <c r="G269" t="inlineStr">
        <is>
          <t>ANEBY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44623</v>
      </c>
      <c r="E270" s="1" t="n">
        <v>46231</v>
      </c>
      <c r="F270" t="inlineStr">
        <is>
          <t>JÖNKÖPINGS LÄN</t>
        </is>
      </c>
      <c r="G270" t="inlineStr">
        <is>
          <t>ANEBY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46231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19.6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45404</v>
      </c>
      <c r="E272" s="1" t="n">
        <v>46231</v>
      </c>
      <c r="F272" t="inlineStr">
        <is>
          <t>JÖNKÖPINGS LÄN</t>
        </is>
      </c>
      <c r="G272" t="inlineStr">
        <is>
          <t>ANEBY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46231</v>
      </c>
      <c r="F273" t="inlineStr">
        <is>
          <t>JÖNKÖPINGS LÄN</t>
        </is>
      </c>
      <c r="G273" t="inlineStr">
        <is>
          <t>ANEBY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46231</v>
      </c>
      <c r="F274" t="inlineStr">
        <is>
          <t>JÖNKÖPINGS LÄN</t>
        </is>
      </c>
      <c r="G274" t="inlineStr">
        <is>
          <t>ANEBY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46231</v>
      </c>
      <c r="F275" t="inlineStr">
        <is>
          <t>JÖNKÖPINGS LÄN</t>
        </is>
      </c>
      <c r="G275" t="inlineStr">
        <is>
          <t>ANEBY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46231</v>
      </c>
      <c r="F276" t="inlineStr">
        <is>
          <t>JÖNKÖPINGS LÄN</t>
        </is>
      </c>
      <c r="G276" t="inlineStr">
        <is>
          <t>ANEBY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46224</v>
      </c>
      <c r="E277" s="1" t="n">
        <v>46231</v>
      </c>
      <c r="F277" t="inlineStr">
        <is>
          <t>JÖNKÖPINGS LÄN</t>
        </is>
      </c>
      <c r="G277" t="inlineStr">
        <is>
          <t>ANEBY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46231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44700</v>
      </c>
      <c r="E279" s="1" t="n">
        <v>46231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58123-2025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46231</v>
      </c>
      <c r="F280" t="inlineStr">
        <is>
          <t>JÖNKÖPINGS LÄN</t>
        </is>
      </c>
      <c r="G280" t="inlineStr">
        <is>
          <t>ANEBY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46231</v>
      </c>
      <c r="F281" t="inlineStr">
        <is>
          <t>JÖNKÖPINGS LÄN</t>
        </is>
      </c>
      <c r="G281" t="inlineStr">
        <is>
          <t>ANEBY</t>
        </is>
      </c>
      <c r="H281" t="inlineStr">
        <is>
          <t>Kyrkan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46231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46231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46231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46231</v>
      </c>
      <c r="F285" t="inlineStr">
        <is>
          <t>JÖNKÖPINGS LÄN</t>
        </is>
      </c>
      <c r="G285" t="inlineStr">
        <is>
          <t>ANEBY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44721</v>
      </c>
      <c r="E286" s="1" t="n">
        <v>46231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46231</v>
      </c>
      <c r="F287" t="inlineStr">
        <is>
          <t>JÖNKÖPINGS LÄN</t>
        </is>
      </c>
      <c r="G287" t="inlineStr">
        <is>
          <t>ANEBY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46231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46231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46231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45300</v>
      </c>
      <c r="E291" s="1" t="n">
        <v>46231</v>
      </c>
      <c r="F291" t="inlineStr">
        <is>
          <t>JÖNKÖPINGS LÄN</t>
        </is>
      </c>
      <c r="G291" t="inlineStr">
        <is>
          <t>ANEBY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19362-2025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45769</v>
      </c>
      <c r="E292" s="1" t="n">
        <v>46231</v>
      </c>
      <c r="F292" t="inlineStr">
        <is>
          <t>JÖNKÖPINGS LÄN</t>
        </is>
      </c>
      <c r="G292" t="inlineStr">
        <is>
          <t>ANEBY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46231</v>
      </c>
      <c r="F293" t="inlineStr">
        <is>
          <t>JÖNKÖPINGS LÄN</t>
        </is>
      </c>
      <c r="G293" t="inlineStr">
        <is>
          <t>ANEBY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46231</v>
      </c>
      <c r="F294" t="inlineStr">
        <is>
          <t>JÖNKÖPINGS LÄN</t>
        </is>
      </c>
      <c r="G294" t="inlineStr">
        <is>
          <t>ANEBY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45304</v>
      </c>
      <c r="E295" s="1" t="n">
        <v>46231</v>
      </c>
      <c r="F295" t="inlineStr">
        <is>
          <t>JÖNKÖPINGS LÄN</t>
        </is>
      </c>
      <c r="G295" t="inlineStr">
        <is>
          <t>ANEBY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46231</v>
      </c>
      <c r="F296" t="inlineStr">
        <is>
          <t>JÖNKÖPINGS LÄN</t>
        </is>
      </c>
      <c r="G296" t="inlineStr">
        <is>
          <t>ANEBY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46231</v>
      </c>
      <c r="F297" t="inlineStr">
        <is>
          <t>JÖNKÖPINGS LÄN</t>
        </is>
      </c>
      <c r="G297" t="inlineStr">
        <is>
          <t>ANEBY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46231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46231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46231</v>
      </c>
      <c r="F300" t="inlineStr">
        <is>
          <t>JÖNKÖPINGS LÄN</t>
        </is>
      </c>
      <c r="G300" t="inlineStr">
        <is>
          <t>ANEBY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44847</v>
      </c>
      <c r="E301" s="1" t="n">
        <v>46231</v>
      </c>
      <c r="F301" t="inlineStr">
        <is>
          <t>JÖNKÖPINGS LÄN</t>
        </is>
      </c>
      <c r="G301" t="inlineStr">
        <is>
          <t>ANEBY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57170-2021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44482</v>
      </c>
      <c r="E302" s="1" t="n">
        <v>46231</v>
      </c>
      <c r="F302" t="inlineStr">
        <is>
          <t>JÖNKÖPINGS LÄN</t>
        </is>
      </c>
      <c r="G302" t="inlineStr">
        <is>
          <t>ANEBY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46231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46231</v>
      </c>
      <c r="F304" t="inlineStr">
        <is>
          <t>JÖNKÖPINGS LÄN</t>
        </is>
      </c>
      <c r="G304" t="inlineStr">
        <is>
          <t>ANEBY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46231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63901-2025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46020</v>
      </c>
      <c r="E306" s="1" t="n">
        <v>46231</v>
      </c>
      <c r="F306" t="inlineStr">
        <is>
          <t>JÖNKÖPINGS LÄN</t>
        </is>
      </c>
      <c r="G306" t="inlineStr">
        <is>
          <t>ANEBY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46231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46021</v>
      </c>
      <c r="E308" s="1" t="n">
        <v>46231</v>
      </c>
      <c r="F308" t="inlineStr">
        <is>
          <t>JÖNKÖPINGS LÄN</t>
        </is>
      </c>
      <c r="G308" t="inlineStr">
        <is>
          <t>ANEBY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46021</v>
      </c>
      <c r="E309" s="1" t="n">
        <v>46231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67414-2021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46231</v>
      </c>
      <c r="F310" t="inlineStr">
        <is>
          <t>JÖNKÖPINGS LÄN</t>
        </is>
      </c>
      <c r="G310" t="inlineStr">
        <is>
          <t>ANEBY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44565</v>
      </c>
      <c r="E311" s="1" t="n">
        <v>46231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46231</v>
      </c>
      <c r="F312" t="inlineStr">
        <is>
          <t>JÖNKÖPINGS LÄN</t>
        </is>
      </c>
      <c r="G312" t="inlineStr">
        <is>
          <t>ANEBY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46231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4836-2023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44957</v>
      </c>
      <c r="E314" s="1" t="n">
        <v>46231</v>
      </c>
      <c r="F314" t="inlineStr">
        <is>
          <t>JÖNKÖPINGS LÄN</t>
        </is>
      </c>
      <c r="G314" t="inlineStr">
        <is>
          <t>ANEBY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35773-2023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45148</v>
      </c>
      <c r="E315" s="1" t="n">
        <v>46231</v>
      </c>
      <c r="F315" t="inlineStr">
        <is>
          <t>JÖNKÖPINGS LÄN</t>
        </is>
      </c>
      <c r="G315" t="inlineStr">
        <is>
          <t>ANEBY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55688-2022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44888</v>
      </c>
      <c r="E316" s="1" t="n">
        <v>46231</v>
      </c>
      <c r="F316" t="inlineStr">
        <is>
          <t>JÖNKÖPINGS LÄN</t>
        </is>
      </c>
      <c r="G316" t="inlineStr">
        <is>
          <t>ANEBY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46231</v>
      </c>
      <c r="F317" t="inlineStr">
        <is>
          <t>JÖNKÖPINGS LÄN</t>
        </is>
      </c>
      <c r="G317" t="inlineStr">
        <is>
          <t>ANEBY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46231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46231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45300</v>
      </c>
      <c r="E320" s="1" t="n">
        <v>46231</v>
      </c>
      <c r="F320" t="inlineStr">
        <is>
          <t>JÖNKÖPINGS LÄN</t>
        </is>
      </c>
      <c r="G320" t="inlineStr">
        <is>
          <t>ANEBY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46231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46231</v>
      </c>
      <c r="F322" t="inlineStr">
        <is>
          <t>JÖNKÖPINGS LÄN</t>
        </is>
      </c>
      <c r="G322" t="inlineStr">
        <is>
          <t>ANEBY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9917-2022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46231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44985</v>
      </c>
      <c r="E324" s="1" t="n">
        <v>46231</v>
      </c>
      <c r="F324" t="inlineStr">
        <is>
          <t>JÖNKÖPINGS LÄN</t>
        </is>
      </c>
      <c r="G324" t="inlineStr">
        <is>
          <t>ANEBY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10456-2023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44981</v>
      </c>
      <c r="E325" s="1" t="n">
        <v>46231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45665</v>
      </c>
      <c r="E326" s="1" t="n">
        <v>46231</v>
      </c>
      <c r="F326" t="inlineStr">
        <is>
          <t>JÖNKÖPINGS LÄN</t>
        </is>
      </c>
      <c r="G326" t="inlineStr">
        <is>
          <t>ANEBY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46231</v>
      </c>
      <c r="F327" t="inlineStr">
        <is>
          <t>JÖNKÖPINGS LÄN</t>
        </is>
      </c>
      <c r="G327" t="inlineStr">
        <is>
          <t>ANEBY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35417-2023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45146</v>
      </c>
      <c r="E328" s="1" t="n">
        <v>46231</v>
      </c>
      <c r="F328" t="inlineStr">
        <is>
          <t>JÖNKÖPINGS LÄN</t>
        </is>
      </c>
      <c r="G328" t="inlineStr">
        <is>
          <t>ANEBY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45363</v>
      </c>
      <c r="E329" s="1" t="n">
        <v>46231</v>
      </c>
      <c r="F329" t="inlineStr">
        <is>
          <t>JÖNKÖPINGS LÄN</t>
        </is>
      </c>
      <c r="G329" t="inlineStr">
        <is>
          <t>ANEBY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46231</v>
      </c>
      <c r="F330" t="inlineStr">
        <is>
          <t>JÖNKÖPINGS LÄN</t>
        </is>
      </c>
      <c r="G330" t="inlineStr">
        <is>
          <t>ANEBY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46231</v>
      </c>
      <c r="F331" t="inlineStr">
        <is>
          <t>JÖNKÖPINGS LÄN</t>
        </is>
      </c>
      <c r="G331" t="inlineStr">
        <is>
          <t>ANEBY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46231</v>
      </c>
      <c r="F332" t="inlineStr">
        <is>
          <t>JÖNKÖPINGS LÄN</t>
        </is>
      </c>
      <c r="G332" t="inlineStr">
        <is>
          <t>ANEBY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46231</v>
      </c>
      <c r="F333" t="inlineStr">
        <is>
          <t>JÖNKÖPINGS LÄN</t>
        </is>
      </c>
      <c r="G333" t="inlineStr">
        <is>
          <t>ANEBY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46231</v>
      </c>
      <c r="F334" t="inlineStr">
        <is>
          <t>JÖNKÖPINGS LÄN</t>
        </is>
      </c>
      <c r="G334" t="inlineStr">
        <is>
          <t>ANEBY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46231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46231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46231</v>
      </c>
      <c r="F337" t="inlineStr">
        <is>
          <t>JÖNKÖPINGS LÄN</t>
        </is>
      </c>
      <c r="G337" t="inlineStr">
        <is>
          <t>ANEBY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46231</v>
      </c>
      <c r="F338" t="inlineStr">
        <is>
          <t>JÖNKÖPINGS LÄN</t>
        </is>
      </c>
      <c r="G338" t="inlineStr">
        <is>
          <t>ANEBY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46231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46231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46231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46231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46231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46231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46231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46231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46231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46231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46231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46231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46231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46231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46231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46231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46231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46231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46231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46231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46231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46231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2026-07-28T01:46:43Z</dcterms:created>
  <dcterms:modified xmlns:dcterms="http://purl.org/dc/terms/" xmlns:xsi="http://www.w3.org/2001/XMLSchema-instance" xsi:type="dcterms:W3CDTF">2026-07-28T01:46:43Z</dcterms:modified>
</cp:coreProperties>
</file>