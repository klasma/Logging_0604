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46216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46216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46216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46216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46216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46216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46216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46216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46216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46216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46216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46216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46216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Sångsvan
Trana
Ärtsångare</t>
        </is>
      </c>
      <c r="V14">
        <f>HYPERLINK("https://klasma.github.io/Logging_0604/artfynd/A 37155-2024 artfynd.xlsx", "A 37155-2024")</f>
        <v/>
      </c>
      <c r="W14">
        <f>HYPERLINK("https://klasma.github.io/Logging_0604/kartor/A 37155-2024 karta.png", "A 37155-2024")</f>
        <v/>
      </c>
      <c r="Y14">
        <f>HYPERLINK("https://klasma.github.io/Logging_0604/klagomål/A 37155-2024 FSC-klagomål.docx", "A 37155-2024")</f>
        <v/>
      </c>
      <c r="Z14">
        <f>HYPERLINK("https://klasma.github.io/Logging_0604/klagomålsmail/A 37155-2024 FSC-klagomål mail.docx", "A 37155-2024")</f>
        <v/>
      </c>
      <c r="AA14">
        <f>HYPERLINK("https://klasma.github.io/Logging_0604/tillsyn/A 37155-2024 tillsynsbegäran.docx", "A 37155-2024")</f>
        <v/>
      </c>
      <c r="AB14">
        <f>HYPERLINK("https://klasma.github.io/Logging_0604/tillsynsmail/A 37155-2024 tillsynsbegäran mail.docx", "A 37155-2024")</f>
        <v/>
      </c>
      <c r="AC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46216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s="2" t="inlineStr">
        <is>
          <t>Brunlångöra
Nordfladdermus
Björksplintborre
Större brunfladdermus</t>
        </is>
      </c>
      <c r="V15">
        <f>HYPERLINK("https://klasma.github.io/Logging_0604/artfynd/A 43750-2025 artfynd.xlsx", "A 43750-2025")</f>
        <v/>
      </c>
      <c r="W15">
        <f>HYPERLINK("https://klasma.github.io/Logging_0604/kartor/A 43750-2025 karta.png", "A 43750-2025")</f>
        <v/>
      </c>
      <c r="Y15">
        <f>HYPERLINK("https://klasma.github.io/Logging_0604/klagomål/A 43750-2025 FSC-klagomål.docx", "A 43750-2025")</f>
        <v/>
      </c>
      <c r="Z15">
        <f>HYPERLINK("https://klasma.github.io/Logging_0604/klagomålsmail/A 43750-2025 FSC-klagomål mail.docx", "A 43750-2025")</f>
        <v/>
      </c>
      <c r="AA15">
        <f>HYPERLINK("https://klasma.github.io/Logging_0604/tillsyn/A 43750-2025 tillsynsbegäran.docx", "A 43750-2025")</f>
        <v/>
      </c>
      <c r="AB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46216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HYPERLINK("https://klasma.github.io/Logging_0604/knärot/A 60716-2025 karta knärot.png", "A 60716-2025")</f>
        <v/>
      </c>
      <c r="Y16">
        <f>HYPERLINK("https://klasma.github.io/Logging_0604/klagomål/A 60716-2025 FSC-klagomål.docx", "A 60716-2025")</f>
        <v/>
      </c>
      <c r="Z16">
        <f>HYPERLINK("https://klasma.github.io/Logging_0604/klagomålsmail/A 60716-2025 FSC-klagomål mail.docx", "A 60716-2025")</f>
        <v/>
      </c>
      <c r="AA16">
        <f>HYPERLINK("https://klasma.github.io/Logging_0604/tillsyn/A 60716-2025 tillsynsbegäran.docx", "A 60716-2025")</f>
        <v/>
      </c>
      <c r="AB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46216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Y17">
        <f>HYPERLINK("https://klasma.github.io/Logging_0604/klagomål/A 18417-2026 FSC-klagomål.docx", "A 18417-2026")</f>
        <v/>
      </c>
      <c r="Z17">
        <f>HYPERLINK("https://klasma.github.io/Logging_0604/klagomålsmail/A 18417-2026 FSC-klagomål mail.docx", "A 18417-2026")</f>
        <v/>
      </c>
      <c r="AA17">
        <f>HYPERLINK("https://klasma.github.io/Logging_0604/tillsyn/A 18417-2026 tillsynsbegäran.docx", "A 18417-2026")</f>
        <v/>
      </c>
      <c r="AB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46216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s="2" t="inlineStr">
        <is>
          <t>Kötticka
Spillkråka
Revlummer</t>
        </is>
      </c>
      <c r="V18">
        <f>HYPERLINK("https://klasma.github.io/Logging_0604/artfynd/A 230-2024 artfynd.xlsx", "A 230-2024")</f>
        <v/>
      </c>
      <c r="W18">
        <f>HYPERLINK("https://klasma.github.io/Logging_0604/kartor/A 230-2024 karta.png", "A 230-2024")</f>
        <v/>
      </c>
      <c r="Y18">
        <f>HYPERLINK("https://klasma.github.io/Logging_0604/klagomål/A 230-2024 FSC-klagomål.docx", "A 230-2024")</f>
        <v/>
      </c>
      <c r="Z18">
        <f>HYPERLINK("https://klasma.github.io/Logging_0604/klagomålsmail/A 230-2024 FSC-klagomål mail.docx", "A 230-2024")</f>
        <v/>
      </c>
      <c r="AA18">
        <f>HYPERLINK("https://klasma.github.io/Logging_0604/tillsyn/A 230-2024 tillsynsbegäran.docx", "A 230-2024")</f>
        <v/>
      </c>
      <c r="AB18">
        <f>HYPERLINK("https://klasma.github.io/Logging_0604/tillsynsmail/A 230-2024 tillsynsbegäran mail.docx", "A 230-2024")</f>
        <v/>
      </c>
      <c r="AC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46216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Råttspindling
Hasselticka
Blåsippa</t>
        </is>
      </c>
      <c r="V19">
        <f>HYPERLINK("https://klasma.github.io/Logging_0604/artfynd/A 9775-2026 artfynd.xlsx", "A 9775-2026")</f>
        <v/>
      </c>
      <c r="W19">
        <f>HYPERLINK("https://klasma.github.io/Logging_0604/kartor/A 9775-2026 karta.png", "A 9775-2026")</f>
        <v/>
      </c>
      <c r="Y19">
        <f>HYPERLINK("https://klasma.github.io/Logging_0604/klagomål/A 9775-2026 FSC-klagomål.docx", "A 9775-2026")</f>
        <v/>
      </c>
      <c r="Z19">
        <f>HYPERLINK("https://klasma.github.io/Logging_0604/klagomålsmail/A 9775-2026 FSC-klagomål mail.docx", "A 9775-2026")</f>
        <v/>
      </c>
      <c r="AA19">
        <f>HYPERLINK("https://klasma.github.io/Logging_0604/tillsyn/A 9775-2026 tillsynsbegäran.docx", "A 9775-2026")</f>
        <v/>
      </c>
      <c r="AB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46216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s="2" t="inlineStr">
        <is>
          <t>Rödgul trumpetsvamp
Spillkråka
Lopplummer (aggregat)</t>
        </is>
      </c>
      <c r="V20">
        <f>HYPERLINK("https://klasma.github.io/Logging_0604/artfynd/A 8457-2025 artfynd.xlsx", "A 8457-2025")</f>
        <v/>
      </c>
      <c r="W20">
        <f>HYPERLINK("https://klasma.github.io/Logging_0604/kartor/A 8457-2025 karta.png", "A 8457-2025")</f>
        <v/>
      </c>
      <c r="Y20">
        <f>HYPERLINK("https://klasma.github.io/Logging_0604/klagomål/A 8457-2025 FSC-klagomål.docx", "A 8457-2025")</f>
        <v/>
      </c>
      <c r="Z20">
        <f>HYPERLINK("https://klasma.github.io/Logging_0604/klagomålsmail/A 8457-2025 FSC-klagomål mail.docx", "A 8457-2025")</f>
        <v/>
      </c>
      <c r="AA20">
        <f>HYPERLINK("https://klasma.github.io/Logging_0604/tillsyn/A 8457-2025 tillsynsbegäran.docx", "A 8457-2025")</f>
        <v/>
      </c>
      <c r="AB20">
        <f>HYPERLINK("https://klasma.github.io/Logging_0604/tillsynsmail/A 8457-2025 tillsynsbegäran mail.docx", "A 8457-2025")</f>
        <v/>
      </c>
      <c r="AC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46216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Tjäder
Vanlig groda
Grönvit nattviol</t>
        </is>
      </c>
      <c r="V21">
        <f>HYPERLINK("https://klasma.github.io/Logging_0604/artfynd/A 10301-2024 artfynd.xlsx", "A 10301-2024")</f>
        <v/>
      </c>
      <c r="W21">
        <f>HYPERLINK("https://klasma.github.io/Logging_0604/kartor/A 10301-2024 karta.png", "A 10301-2024")</f>
        <v/>
      </c>
      <c r="Y21">
        <f>HYPERLINK("https://klasma.github.io/Logging_0604/klagomål/A 10301-2024 FSC-klagomål.docx", "A 10301-2024")</f>
        <v/>
      </c>
      <c r="Z21">
        <f>HYPERLINK("https://klasma.github.io/Logging_0604/klagomålsmail/A 10301-2024 FSC-klagomål mail.docx", "A 10301-2024")</f>
        <v/>
      </c>
      <c r="AA21">
        <f>HYPERLINK("https://klasma.github.io/Logging_0604/tillsyn/A 10301-2024 tillsynsbegäran.docx", "A 10301-2024")</f>
        <v/>
      </c>
      <c r="AB21">
        <f>HYPERLINK("https://klasma.github.io/Logging_0604/tillsynsmail/A 10301-2024 tillsynsbegäran mail.docx", "A 10301-2024")</f>
        <v/>
      </c>
      <c r="AC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46216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46216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Korallrot
Spindelblomster</t>
        </is>
      </c>
      <c r="V23">
        <f>HYPERLINK("https://klasma.github.io/Logging_0604/artfynd/A 17130-2022 artfynd.xlsx", "A 17130-2022")</f>
        <v/>
      </c>
      <c r="W23">
        <f>HYPERLINK("https://klasma.github.io/Logging_0604/kartor/A 17130-2022 karta.png", "A 17130-2022")</f>
        <v/>
      </c>
      <c r="Y23">
        <f>HYPERLINK("https://klasma.github.io/Logging_0604/klagomål/A 17130-2022 FSC-klagomål.docx", "A 17130-2022")</f>
        <v/>
      </c>
      <c r="Z23">
        <f>HYPERLINK("https://klasma.github.io/Logging_0604/klagomålsmail/A 17130-2022 FSC-klagomål mail.docx", "A 17130-2022")</f>
        <v/>
      </c>
      <c r="AA23">
        <f>HYPERLINK("https://klasma.github.io/Logging_0604/tillsyn/A 17130-2022 tillsynsbegäran.docx", "A 17130-2022")</f>
        <v/>
      </c>
      <c r="AB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46216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Y24">
        <f>HYPERLINK("https://klasma.github.io/Logging_0604/klagomål/A 27285-2026 FSC-klagomål.docx", "A 27285-2026")</f>
        <v/>
      </c>
      <c r="Z24">
        <f>HYPERLINK("https://klasma.github.io/Logging_0604/klagomålsmail/A 27285-2026 FSC-klagomål mail.docx", "A 27285-2026")</f>
        <v/>
      </c>
      <c r="AA24">
        <f>HYPERLINK("https://klasma.github.io/Logging_0604/tillsyn/A 27285-2026 tillsynsbegäran.docx", "A 27285-2026")</f>
        <v/>
      </c>
      <c r="AB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46216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46216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Odontocerum albicorne</t>
        </is>
      </c>
      <c r="V26">
        <f>HYPERLINK("https://klasma.github.io/Logging_0604/artfynd/A 28452-2022 artfynd.xlsx", "A 28452-2022")</f>
        <v/>
      </c>
      <c r="W26">
        <f>HYPERLINK("https://klasma.github.io/Logging_0604/kartor/A 28452-2022 karta.png", "A 28452-2022")</f>
        <v/>
      </c>
      <c r="Y26">
        <f>HYPERLINK("https://klasma.github.io/Logging_0604/klagomål/A 28452-2022 FSC-klagomål.docx", "A 28452-2022")</f>
        <v/>
      </c>
      <c r="Z26">
        <f>HYPERLINK("https://klasma.github.io/Logging_0604/klagomålsmail/A 28452-2022 FSC-klagomål mail.docx", "A 28452-2022")</f>
        <v/>
      </c>
      <c r="AA26">
        <f>HYPERLINK("https://klasma.github.io/Logging_0604/tillsyn/A 28452-2022 tillsynsbegäran.docx", "A 28452-2022")</f>
        <v/>
      </c>
      <c r="AB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46216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Fläckmaskros</t>
        </is>
      </c>
      <c r="V27">
        <f>HYPERLINK("https://klasma.github.io/Logging_0604/artfynd/A 40897-2024 artfynd.xlsx", "A 40897-2024")</f>
        <v/>
      </c>
      <c r="W27">
        <f>HYPERLINK("https://klasma.github.io/Logging_0604/kartor/A 40897-2024 karta.png", "A 40897-2024")</f>
        <v/>
      </c>
      <c r="Y27">
        <f>HYPERLINK("https://klasma.github.io/Logging_0604/klagomål/A 40897-2024 FSC-klagomål.docx", "A 40897-2024")</f>
        <v/>
      </c>
      <c r="Z27">
        <f>HYPERLINK("https://klasma.github.io/Logging_0604/klagomålsmail/A 40897-2024 FSC-klagomål mail.docx", "A 40897-2024")</f>
        <v/>
      </c>
      <c r="AA27">
        <f>HYPERLINK("https://klasma.github.io/Logging_0604/tillsyn/A 40897-2024 tillsynsbegäran.docx", "A 40897-2024")</f>
        <v/>
      </c>
      <c r="AB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46216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HYPERLINK("https://klasma.github.io/Logging_0604/artfynd/A 25875-2024 artfynd.xlsx", "A 25875-2024")</f>
        <v/>
      </c>
      <c r="W28">
        <f>HYPERLINK("https://klasma.github.io/Logging_0604/kartor/A 25875-2024 karta.png", "A 25875-2024")</f>
        <v/>
      </c>
      <c r="Y28">
        <f>HYPERLINK("https://klasma.github.io/Logging_0604/klagomål/A 25875-2024 FSC-klagomål.docx", "A 25875-2024")</f>
        <v/>
      </c>
      <c r="Z28">
        <f>HYPERLINK("https://klasma.github.io/Logging_0604/klagomålsmail/A 25875-2024 FSC-klagomål mail.docx", "A 25875-2024")</f>
        <v/>
      </c>
      <c r="AA28">
        <f>HYPERLINK("https://klasma.github.io/Logging_0604/tillsyn/A 25875-2024 tillsynsbegäran.docx", "A 25875-2024")</f>
        <v/>
      </c>
      <c r="AB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46216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Dofttaggsvamp</t>
        </is>
      </c>
      <c r="V29">
        <f>HYPERLINK("https://klasma.github.io/Logging_0604/artfynd/A 48560-2025 artfynd.xlsx", "A 48560-2025")</f>
        <v/>
      </c>
      <c r="W29">
        <f>HYPERLINK("https://klasma.github.io/Logging_0604/kartor/A 48560-2025 karta.png", "A 48560-2025")</f>
        <v/>
      </c>
      <c r="Y29">
        <f>HYPERLINK("https://klasma.github.io/Logging_0604/klagomål/A 48560-2025 FSC-klagomål.docx", "A 48560-2025")</f>
        <v/>
      </c>
      <c r="Z29">
        <f>HYPERLINK("https://klasma.github.io/Logging_0604/klagomålsmail/A 48560-2025 FSC-klagomål mail.docx", "A 48560-2025")</f>
        <v/>
      </c>
      <c r="AA29">
        <f>HYPERLINK("https://klasma.github.io/Logging_0604/tillsyn/A 48560-2025 tillsynsbegäran.docx", "A 48560-2025")</f>
        <v/>
      </c>
      <c r="AB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46216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Enkelbeckasin</t>
        </is>
      </c>
      <c r="V30">
        <f>HYPERLINK("https://klasma.github.io/Logging_0604/artfynd/A 8117-2025 artfynd.xlsx", "A 8117-2025")</f>
        <v/>
      </c>
      <c r="W30">
        <f>HYPERLINK("https://klasma.github.io/Logging_0604/kartor/A 8117-2025 karta.png", "A 8117-2025")</f>
        <v/>
      </c>
      <c r="Y30">
        <f>HYPERLINK("https://klasma.github.io/Logging_0604/klagomål/A 8117-2025 FSC-klagomål.docx", "A 8117-2025")</f>
        <v/>
      </c>
      <c r="Z30">
        <f>HYPERLINK("https://klasma.github.io/Logging_0604/klagomålsmail/A 8117-2025 FSC-klagomål mail.docx", "A 8117-2025")</f>
        <v/>
      </c>
      <c r="AA30">
        <f>HYPERLINK("https://klasma.github.io/Logging_0604/tillsyn/A 8117-2025 tillsynsbegäran.docx", "A 8117-2025")</f>
        <v/>
      </c>
      <c r="AB30">
        <f>HYPERLINK("https://klasma.github.io/Logging_0604/tillsynsmail/A 8117-2025 tillsynsbegäran mail.docx", "A 8117-2025")</f>
        <v/>
      </c>
      <c r="AC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46216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Järpe</t>
        </is>
      </c>
      <c r="V31">
        <f>HYPERLINK("https://klasma.github.io/Logging_0604/artfynd/A 24863-2024 artfynd.xlsx", "A 24863-2024")</f>
        <v/>
      </c>
      <c r="W31">
        <f>HYPERLINK("https://klasma.github.io/Logging_0604/kartor/A 24863-2024 karta.png", "A 24863-2024")</f>
        <v/>
      </c>
      <c r="Y31">
        <f>HYPERLINK("https://klasma.github.io/Logging_0604/klagomål/A 24863-2024 FSC-klagomål.docx", "A 24863-2024")</f>
        <v/>
      </c>
      <c r="Z31">
        <f>HYPERLINK("https://klasma.github.io/Logging_0604/klagomålsmail/A 24863-2024 FSC-klagomål mail.docx", "A 24863-2024")</f>
        <v/>
      </c>
      <c r="AA31">
        <f>HYPERLINK("https://klasma.github.io/Logging_0604/tillsyn/A 24863-2024 tillsynsbegäran.docx", "A 24863-2024")</f>
        <v/>
      </c>
      <c r="AB31">
        <f>HYPERLINK("https://klasma.github.io/Logging_0604/tillsynsmail/A 24863-2024 tillsynsbegäran mail.docx", "A 24863-2024")</f>
        <v/>
      </c>
      <c r="AC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46216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HYPERLINK("https://klasma.github.io/Logging_0604/artfynd/A 10358-2024 artfynd.xlsx", "A 10358-2024")</f>
        <v/>
      </c>
      <c r="W32">
        <f>HYPERLINK("https://klasma.github.io/Logging_0604/kartor/A 10358-2024 karta.png", "A 10358-2024")</f>
        <v/>
      </c>
      <c r="Y32">
        <f>HYPERLINK("https://klasma.github.io/Logging_0604/klagomål/A 10358-2024 FSC-klagomål.docx", "A 10358-2024")</f>
        <v/>
      </c>
      <c r="Z32">
        <f>HYPERLINK("https://klasma.github.io/Logging_0604/klagomålsmail/A 10358-2024 FSC-klagomål mail.docx", "A 10358-2024")</f>
        <v/>
      </c>
      <c r="AA32">
        <f>HYPERLINK("https://klasma.github.io/Logging_0604/tillsyn/A 10358-2024 tillsynsbegäran.docx", "A 10358-2024")</f>
        <v/>
      </c>
      <c r="AB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46216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HYPERLINK("https://klasma.github.io/Logging_0604/artfynd/A 10010-2023 artfynd.xlsx", "A 10010-2023")</f>
        <v/>
      </c>
      <c r="W33">
        <f>HYPERLINK("https://klasma.github.io/Logging_0604/kartor/A 10010-2023 karta.png", "A 10010-2023")</f>
        <v/>
      </c>
      <c r="Y33">
        <f>HYPERLINK("https://klasma.github.io/Logging_0604/klagomål/A 10010-2023 FSC-klagomål.docx", "A 10010-2023")</f>
        <v/>
      </c>
      <c r="Z33">
        <f>HYPERLINK("https://klasma.github.io/Logging_0604/klagomålsmail/A 10010-2023 FSC-klagomål mail.docx", "A 10010-2023")</f>
        <v/>
      </c>
      <c r="AA33">
        <f>HYPERLINK("https://klasma.github.io/Logging_0604/tillsyn/A 10010-2023 tillsynsbegäran.docx", "A 10010-2023")</f>
        <v/>
      </c>
      <c r="AB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46216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Vårstarr</t>
        </is>
      </c>
      <c r="V34">
        <f>HYPERLINK("https://klasma.github.io/Logging_0604/artfynd/A 26784-2022 artfynd.xlsx", "A 26784-2022")</f>
        <v/>
      </c>
      <c r="W34">
        <f>HYPERLINK("https://klasma.github.io/Logging_0604/kartor/A 26784-2022 karta.png", "A 26784-2022")</f>
        <v/>
      </c>
      <c r="Y34">
        <f>HYPERLINK("https://klasma.github.io/Logging_0604/klagomål/A 26784-2022 FSC-klagomål.docx", "A 26784-2022")</f>
        <v/>
      </c>
      <c r="Z34">
        <f>HYPERLINK("https://klasma.github.io/Logging_0604/klagomålsmail/A 26784-2022 FSC-klagomål mail.docx", "A 26784-2022")</f>
        <v/>
      </c>
      <c r="AA34">
        <f>HYPERLINK("https://klasma.github.io/Logging_0604/tillsyn/A 26784-2022 tillsynsbegäran.docx", "A 26784-2022")</f>
        <v/>
      </c>
      <c r="AB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46216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Fläcknycklar</t>
        </is>
      </c>
      <c r="V35">
        <f>HYPERLINK("https://klasma.github.io/Logging_0604/artfynd/A 412-2022 artfynd.xlsx", "A 412-2022")</f>
        <v/>
      </c>
      <c r="W35">
        <f>HYPERLINK("https://klasma.github.io/Logging_0604/kartor/A 412-2022 karta.png", "A 412-2022")</f>
        <v/>
      </c>
      <c r="Y35">
        <f>HYPERLINK("https://klasma.github.io/Logging_0604/klagomål/A 412-2022 FSC-klagomål.docx", "A 412-2022")</f>
        <v/>
      </c>
      <c r="Z35">
        <f>HYPERLINK("https://klasma.github.io/Logging_0604/klagomålsmail/A 412-2022 FSC-klagomål mail.docx", "A 412-2022")</f>
        <v/>
      </c>
      <c r="AA35">
        <f>HYPERLINK("https://klasma.github.io/Logging_0604/tillsyn/A 412-2022 tillsynsbegäran.docx", "A 412-2022")</f>
        <v/>
      </c>
      <c r="AB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46216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Talltita</t>
        </is>
      </c>
      <c r="V36">
        <f>HYPERLINK("https://klasma.github.io/Logging_0604/artfynd/A 38728-2024 artfynd.xlsx", "A 38728-2024")</f>
        <v/>
      </c>
      <c r="W36">
        <f>HYPERLINK("https://klasma.github.io/Logging_0604/kartor/A 38728-2024 karta.png", "A 38728-2024")</f>
        <v/>
      </c>
      <c r="Y36">
        <f>HYPERLINK("https://klasma.github.io/Logging_0604/klagomål/A 38728-2024 FSC-klagomål.docx", "A 38728-2024")</f>
        <v/>
      </c>
      <c r="Z36">
        <f>HYPERLINK("https://klasma.github.io/Logging_0604/klagomålsmail/A 38728-2024 FSC-klagomål mail.docx", "A 38728-2024")</f>
        <v/>
      </c>
      <c r="AA36">
        <f>HYPERLINK("https://klasma.github.io/Logging_0604/tillsyn/A 38728-2024 tillsynsbegäran.docx", "A 38728-2024")</f>
        <v/>
      </c>
      <c r="AB36">
        <f>HYPERLINK("https://klasma.github.io/Logging_0604/tillsynsmail/A 38728-2024 tillsynsbegäran mail.docx", "A 38728-2024")</f>
        <v/>
      </c>
      <c r="AC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46216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HYPERLINK("https://klasma.github.io/Logging_0604/artfynd/A 13163-2024 artfynd.xlsx", "A 13163-2024")</f>
        <v/>
      </c>
      <c r="W37">
        <f>HYPERLINK("https://klasma.github.io/Logging_0604/kartor/A 13163-2024 karta.png", "A 13163-2024")</f>
        <v/>
      </c>
      <c r="Y37">
        <f>HYPERLINK("https://klasma.github.io/Logging_0604/klagomål/A 13163-2024 FSC-klagomål.docx", "A 13163-2024")</f>
        <v/>
      </c>
      <c r="Z37">
        <f>HYPERLINK("https://klasma.github.io/Logging_0604/klagomålsmail/A 13163-2024 FSC-klagomål mail.docx", "A 13163-2024")</f>
        <v/>
      </c>
      <c r="AA37">
        <f>HYPERLINK("https://klasma.github.io/Logging_0604/tillsyn/A 13163-2024 tillsynsbegäran.docx", "A 13163-2024")</f>
        <v/>
      </c>
      <c r="AB37">
        <f>HYPERLINK("https://klasma.github.io/Logging_0604/tillsynsmail/A 13163-2024 tillsynsbegäran mail.docx", "A 13163-2024")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46216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s="2" t="inlineStr">
        <is>
          <t>Grönvit nattviol</t>
        </is>
      </c>
      <c r="V38">
        <f>HYPERLINK("https://klasma.github.io/Logging_0604/artfynd/A 24820-2026 artfynd.xlsx", "A 24820-2026")</f>
        <v/>
      </c>
      <c r="W38">
        <f>HYPERLINK("https://klasma.github.io/Logging_0604/kartor/A 24820-2026 karta.png", "A 24820-2026")</f>
        <v/>
      </c>
      <c r="Y38">
        <f>HYPERLINK("https://klasma.github.io/Logging_0604/klagomål/A 24820-2026 FSC-klagomål.docx", "A 24820-2026")</f>
        <v/>
      </c>
      <c r="Z38">
        <f>HYPERLINK("https://klasma.github.io/Logging_0604/klagomålsmail/A 24820-2026 FSC-klagomål mail.docx", "A 24820-2026")</f>
        <v/>
      </c>
      <c r="AA38">
        <f>HYPERLINK("https://klasma.github.io/Logging_0604/tillsyn/A 24820-2026 tillsynsbegäran.docx", "A 24820-2026")</f>
        <v/>
      </c>
      <c r="AB38">
        <f>HYPERLINK("https://klasma.github.io/Logging_0604/tillsynsmail/A 24820-2026 tillsynsbegäran mail.docx", "A 24820-2026")</f>
        <v/>
      </c>
    </row>
    <row r="39" ht="15" customHeight="1">
      <c r="A39" t="inlineStr">
        <is>
          <t>A 38338-2023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46216</v>
      </c>
      <c r="F39" t="inlineStr">
        <is>
          <t>JÖNKÖPINGS LÄN</t>
        </is>
      </c>
      <c r="G39" t="inlineStr">
        <is>
          <t>ANEBY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Grönvit nattviol</t>
        </is>
      </c>
      <c r="V39">
        <f>HYPERLINK("https://klasma.github.io/Logging_0604/artfynd/A 38338-2023 artfynd.xlsx", "A 38338-2023")</f>
        <v/>
      </c>
      <c r="W39">
        <f>HYPERLINK("https://klasma.github.io/Logging_0604/kartor/A 38338-2023 karta.png", "A 38338-2023")</f>
        <v/>
      </c>
      <c r="Y39">
        <f>HYPERLINK("https://klasma.github.io/Logging_0604/klagomål/A 38338-2023 FSC-klagomål.docx", "A 38338-2023")</f>
        <v/>
      </c>
      <c r="Z39">
        <f>HYPERLINK("https://klasma.github.io/Logging_0604/klagomålsmail/A 38338-2023 FSC-klagomål mail.docx", "A 38338-2023")</f>
        <v/>
      </c>
      <c r="AA39">
        <f>HYPERLINK("https://klasma.github.io/Logging_0604/tillsyn/A 38338-2023 tillsynsbegäran.docx", "A 38338-2023")</f>
        <v/>
      </c>
      <c r="AB39">
        <f>HYPERLINK("https://klasma.github.io/Logging_0604/tillsynsmail/A 38338-2023 tillsynsbegäran mail.docx", "A 38338-2023")</f>
        <v/>
      </c>
    </row>
    <row r="40" ht="15" customHeight="1">
      <c r="A40" t="inlineStr">
        <is>
          <t>A 53251-2023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46216</v>
      </c>
      <c r="F40" t="inlineStr">
        <is>
          <t>JÖNKÖPINGS LÄN</t>
        </is>
      </c>
      <c r="G40" t="inlineStr">
        <is>
          <t>ANEBY</t>
        </is>
      </c>
      <c r="I40" t="n">
        <v>2.2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Slåttergubbe</t>
        </is>
      </c>
      <c r="V40">
        <f>HYPERLINK("https://klasma.github.io/Logging_0604/artfynd/A 53251-2023 artfynd.xlsx", "A 53251-2023")</f>
        <v/>
      </c>
      <c r="W40">
        <f>HYPERLINK("https://klasma.github.io/Logging_0604/kartor/A 53251-2023 karta.png", "A 53251-2023")</f>
        <v/>
      </c>
      <c r="Y40">
        <f>HYPERLINK("https://klasma.github.io/Logging_0604/klagomål/A 53251-2023 FSC-klagomål.docx", "A 53251-2023")</f>
        <v/>
      </c>
      <c r="Z40">
        <f>HYPERLINK("https://klasma.github.io/Logging_0604/klagomålsmail/A 53251-2023 FSC-klagomål mail.docx", "A 53251-2023")</f>
        <v/>
      </c>
      <c r="AA40">
        <f>HYPERLINK("https://klasma.github.io/Logging_0604/tillsyn/A 53251-2023 tillsynsbegäran.docx", "A 53251-2023")</f>
        <v/>
      </c>
      <c r="AB40">
        <f>HYPERLINK("https://klasma.github.io/Logging_0604/tillsynsmail/A 53251-2023 tillsynsbegäran mail.docx", "A 53251-2023")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46216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Stor ängsmaskros</t>
        </is>
      </c>
      <c r="V41">
        <f>HYPERLINK("https://klasma.github.io/Logging_0604/artfynd/A 25891-2026 artfynd.xlsx", "A 25891-2026")</f>
        <v/>
      </c>
      <c r="W41">
        <f>HYPERLINK("https://klasma.github.io/Logging_0604/kartor/A 25891-2026 karta.png", "A 25891-2026")</f>
        <v/>
      </c>
      <c r="Y41">
        <f>HYPERLINK("https://klasma.github.io/Logging_0604/klagomål/A 25891-2026 FSC-klagomål.docx", "A 25891-2026")</f>
        <v/>
      </c>
      <c r="Z41">
        <f>HYPERLINK("https://klasma.github.io/Logging_0604/klagomålsmail/A 25891-2026 FSC-klagomål mail.docx", "A 25891-2026")</f>
        <v/>
      </c>
      <c r="AA41">
        <f>HYPERLINK("https://klasma.github.io/Logging_0604/tillsyn/A 25891-2026 tillsynsbegäran.docx", "A 25891-2026")</f>
        <v/>
      </c>
      <c r="AB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46216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Vedtrappmossa</t>
        </is>
      </c>
      <c r="V42">
        <f>HYPERLINK("https://klasma.github.io/Logging_0604/artfynd/A 51453-2021 artfynd.xlsx", "A 51453-2021")</f>
        <v/>
      </c>
      <c r="W42">
        <f>HYPERLINK("https://klasma.github.io/Logging_0604/kartor/A 51453-2021 karta.png", "A 51453-2021")</f>
        <v/>
      </c>
      <c r="Y42">
        <f>HYPERLINK("https://klasma.github.io/Logging_0604/klagomål/A 51453-2021 FSC-klagomål.docx", "A 51453-2021")</f>
        <v/>
      </c>
      <c r="Z42">
        <f>HYPERLINK("https://klasma.github.io/Logging_0604/klagomålsmail/A 51453-2021 FSC-klagomål mail.docx", "A 51453-2021")</f>
        <v/>
      </c>
      <c r="AA42">
        <f>HYPERLINK("https://klasma.github.io/Logging_0604/tillsyn/A 51453-2021 tillsynsbegäran.docx", "A 51453-2021")</f>
        <v/>
      </c>
      <c r="AB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46216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46216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46216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46216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46216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46216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46216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46216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46216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46216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46216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46216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46216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46216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46216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46216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46216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46216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46216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46216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46216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46216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46216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46216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46216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46216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46216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46216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46216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46216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46216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46216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46216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46216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46216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46216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46216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46216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46216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46216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46216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46216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46216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46216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46216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46216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46216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46216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46216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46216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46216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46216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46216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46216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46216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46216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46216</v>
      </c>
      <c r="F100" t="inlineStr">
        <is>
          <t>JÖNKÖPINGS LÄN</t>
        </is>
      </c>
      <c r="G100" t="inlineStr">
        <is>
          <t>ANEBY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46216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45300</v>
      </c>
      <c r="E102" s="1" t="n">
        <v>46216</v>
      </c>
      <c r="F102" t="inlineStr">
        <is>
          <t>JÖNKÖPINGS LÄN</t>
        </is>
      </c>
      <c r="G102" t="inlineStr">
        <is>
          <t>ANEBY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46216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46216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46216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46216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35555-2024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46216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701-2024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46216</v>
      </c>
      <c r="F108" t="inlineStr">
        <is>
          <t>JÖNKÖPINGS LÄN</t>
        </is>
      </c>
      <c r="G108" t="inlineStr">
        <is>
          <t>ANEBY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46216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46216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45304</v>
      </c>
      <c r="E111" s="1" t="n">
        <v>46216</v>
      </c>
      <c r="F111" t="inlineStr">
        <is>
          <t>JÖNKÖPINGS LÄN</t>
        </is>
      </c>
      <c r="G111" t="inlineStr">
        <is>
          <t>ANEBY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46216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46216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46216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46216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46216</v>
      </c>
      <c r="F116" t="inlineStr">
        <is>
          <t>JÖNKÖPINGS LÄN</t>
        </is>
      </c>
      <c r="G116" t="inlineStr">
        <is>
          <t>ANEBY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27714-2024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45475</v>
      </c>
      <c r="E117" s="1" t="n">
        <v>46216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27205-2025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45812</v>
      </c>
      <c r="E118" s="1" t="n">
        <v>46216</v>
      </c>
      <c r="F118" t="inlineStr">
        <is>
          <t>JÖNKÖPINGS LÄN</t>
        </is>
      </c>
      <c r="G118" t="inlineStr">
        <is>
          <t>ANEBY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33125-2025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46216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35417-2023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46216</v>
      </c>
      <c r="F120" t="inlineStr">
        <is>
          <t>JÖNKÖPINGS LÄN</t>
        </is>
      </c>
      <c r="G120" t="inlineStr">
        <is>
          <t>ANEBY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46216</v>
      </c>
      <c r="F121" t="inlineStr">
        <is>
          <t>JÖNKÖPINGS LÄN</t>
        </is>
      </c>
      <c r="G121" t="inlineStr">
        <is>
          <t>ANEBY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47325-2024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46216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18.6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47330-2024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46216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49133-2022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44860</v>
      </c>
      <c r="E124" s="1" t="n">
        <v>46216</v>
      </c>
      <c r="F124" t="inlineStr">
        <is>
          <t>JÖNKÖPINGS LÄN</t>
        </is>
      </c>
      <c r="G124" t="inlineStr">
        <is>
          <t>ANEBY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46216</v>
      </c>
      <c r="F125" t="inlineStr">
        <is>
          <t>JÖNKÖPINGS LÄN</t>
        </is>
      </c>
      <c r="G125" t="inlineStr">
        <is>
          <t>ANEBY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46216</v>
      </c>
      <c r="F126" t="inlineStr">
        <is>
          <t>JÖNKÖPINGS LÄN</t>
        </is>
      </c>
      <c r="G126" t="inlineStr">
        <is>
          <t>ANEBY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57174-2021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46216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15481-2023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45020</v>
      </c>
      <c r="E128" s="1" t="n">
        <v>46216</v>
      </c>
      <c r="F128" t="inlineStr">
        <is>
          <t>JÖNKÖPINGS LÄN</t>
        </is>
      </c>
      <c r="G128" t="inlineStr">
        <is>
          <t>ANEBY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46216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16.8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9193-2024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46216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46216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45330</v>
      </c>
      <c r="E132" s="1" t="n">
        <v>46216</v>
      </c>
      <c r="F132" t="inlineStr">
        <is>
          <t>JÖNKÖPINGS LÄN</t>
        </is>
      </c>
      <c r="G132" t="inlineStr">
        <is>
          <t>ANEBY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31087-2025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46216</v>
      </c>
      <c r="F133" t="inlineStr">
        <is>
          <t>JÖNKÖPINGS LÄN</t>
        </is>
      </c>
      <c r="G133" t="inlineStr">
        <is>
          <t>ANEBY</t>
        </is>
      </c>
      <c r="H133" t="inlineStr">
        <is>
          <t>Övriga Aktiebolag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46216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46216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46216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43757-2025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46216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43747-2025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46216</v>
      </c>
      <c r="F138" t="inlineStr">
        <is>
          <t>JÖNKÖPINGS LÄN</t>
        </is>
      </c>
      <c r="G138" t="inlineStr">
        <is>
          <t>ANEBY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43754-2025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46216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43528-2025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45911</v>
      </c>
      <c r="E140" s="1" t="n">
        <v>46216</v>
      </c>
      <c r="F140" t="inlineStr">
        <is>
          <t>JÖNKÖPINGS LÄN</t>
        </is>
      </c>
      <c r="G140" t="inlineStr">
        <is>
          <t>ANEBY</t>
        </is>
      </c>
      <c r="H140" t="inlineStr">
        <is>
          <t>Övriga Aktiebolag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43746-2025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46216</v>
      </c>
      <c r="F141" t="inlineStr">
        <is>
          <t>JÖNKÖPINGS LÄN</t>
        </is>
      </c>
      <c r="G141" t="inlineStr">
        <is>
          <t>ANEBY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32554-2025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46216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46216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44866-2025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46216</v>
      </c>
      <c r="F144" t="inlineStr">
        <is>
          <t>JÖNKÖPINGS LÄN</t>
        </is>
      </c>
      <c r="G144" t="inlineStr">
        <is>
          <t>ANEBY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45688</v>
      </c>
      <c r="E145" s="1" t="n">
        <v>46216</v>
      </c>
      <c r="F145" t="inlineStr">
        <is>
          <t>JÖNKÖPINGS LÄN</t>
        </is>
      </c>
      <c r="G145" t="inlineStr">
        <is>
          <t>ANEBY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46162-2025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46216</v>
      </c>
      <c r="F146" t="inlineStr">
        <is>
          <t>JÖNKÖPINGS LÄN</t>
        </is>
      </c>
      <c r="G146" t="inlineStr">
        <is>
          <t>ANEBY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25103-2023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45086</v>
      </c>
      <c r="E147" s="1" t="n">
        <v>46216</v>
      </c>
      <c r="F147" t="inlineStr">
        <is>
          <t>JÖNKÖPINGS LÄN</t>
        </is>
      </c>
      <c r="G147" t="inlineStr">
        <is>
          <t>ANEBY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46216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57170-2021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46216</v>
      </c>
      <c r="F149" t="inlineStr">
        <is>
          <t>JÖNKÖPINGS LÄN</t>
        </is>
      </c>
      <c r="G149" t="inlineStr">
        <is>
          <t>ANEBY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35773-2023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45148</v>
      </c>
      <c r="E150" s="1" t="n">
        <v>46216</v>
      </c>
      <c r="F150" t="inlineStr">
        <is>
          <t>JÖNKÖPINGS LÄN</t>
        </is>
      </c>
      <c r="G150" t="inlineStr">
        <is>
          <t>ANEBY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56735-2021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44481</v>
      </c>
      <c r="E151" s="1" t="n">
        <v>46216</v>
      </c>
      <c r="F151" t="inlineStr">
        <is>
          <t>JÖNKÖPINGS LÄN</t>
        </is>
      </c>
      <c r="G151" t="inlineStr">
        <is>
          <t>ANEBY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46216</v>
      </c>
      <c r="F152" t="inlineStr">
        <is>
          <t>JÖNKÖPINGS LÄN</t>
        </is>
      </c>
      <c r="G152" t="inlineStr">
        <is>
          <t>ANEBY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48728-2025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46216</v>
      </c>
      <c r="F153" t="inlineStr">
        <is>
          <t>JÖNKÖPINGS LÄN</t>
        </is>
      </c>
      <c r="G153" t="inlineStr">
        <is>
          <t>ANEBY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46216</v>
      </c>
      <c r="F154" t="inlineStr">
        <is>
          <t>JÖNKÖPINGS LÄN</t>
        </is>
      </c>
      <c r="G154" t="inlineStr">
        <is>
          <t>ANEBY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50744-2025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46216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46216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51684-2025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46216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21355-2022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46216</v>
      </c>
      <c r="F158" t="inlineStr">
        <is>
          <t>JÖNKÖPINGS LÄN</t>
        </is>
      </c>
      <c r="G158" t="inlineStr">
        <is>
          <t>ANEBY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52718-2025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46216</v>
      </c>
      <c r="F159" t="inlineStr">
        <is>
          <t>JÖNKÖPINGS LÄN</t>
        </is>
      </c>
      <c r="G159" t="inlineStr">
        <is>
          <t>ANEBY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37683-2023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46216</v>
      </c>
      <c r="F160" t="inlineStr">
        <is>
          <t>JÖNKÖPINGS LÄN</t>
        </is>
      </c>
      <c r="G160" t="inlineStr">
        <is>
          <t>ANEBY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46216</v>
      </c>
      <c r="F161" t="inlineStr">
        <is>
          <t>JÖNKÖPINGS LÄN</t>
        </is>
      </c>
      <c r="G161" t="inlineStr">
        <is>
          <t>ANEBY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46216</v>
      </c>
      <c r="F162" t="inlineStr">
        <is>
          <t>JÖNKÖPINGS LÄN</t>
        </is>
      </c>
      <c r="G162" t="inlineStr">
        <is>
          <t>ANEBY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46216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8772-2024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46216</v>
      </c>
      <c r="F164" t="inlineStr">
        <is>
          <t>JÖNKÖPINGS LÄN</t>
        </is>
      </c>
      <c r="G164" t="inlineStr">
        <is>
          <t>ANEBY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39685-2024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46216</v>
      </c>
      <c r="F165" t="inlineStr">
        <is>
          <t>JÖNKÖPINGS LÄN</t>
        </is>
      </c>
      <c r="G165" t="inlineStr">
        <is>
          <t>ANEBY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46216</v>
      </c>
      <c r="F166" t="inlineStr">
        <is>
          <t>JÖNKÖPINGS LÄN</t>
        </is>
      </c>
      <c r="G166" t="inlineStr">
        <is>
          <t>ANEBY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54998-2025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46216</v>
      </c>
      <c r="F167" t="inlineStr">
        <is>
          <t>JÖNKÖPINGS LÄN</t>
        </is>
      </c>
      <c r="G167" t="inlineStr">
        <is>
          <t>ANEBY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54911-2025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46216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46216</v>
      </c>
      <c r="F169" t="inlineStr">
        <is>
          <t>JÖNKÖPINGS LÄN</t>
        </is>
      </c>
      <c r="G169" t="inlineStr">
        <is>
          <t>ANEBY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45806-2023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46216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21026-2024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45439</v>
      </c>
      <c r="E171" s="1" t="n">
        <v>46216</v>
      </c>
      <c r="F171" t="inlineStr">
        <is>
          <t>JÖNKÖPINGS LÄN</t>
        </is>
      </c>
      <c r="G171" t="inlineStr">
        <is>
          <t>ANEBY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44051-2024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46216</v>
      </c>
      <c r="F172" t="inlineStr">
        <is>
          <t>JÖNKÖPINGS LÄN</t>
        </is>
      </c>
      <c r="G172" t="inlineStr">
        <is>
          <t>ANEBY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56020-2021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46216</v>
      </c>
      <c r="F173" t="inlineStr">
        <is>
          <t>JÖNKÖPINGS LÄN</t>
        </is>
      </c>
      <c r="G173" t="inlineStr">
        <is>
          <t>ANEBY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6638-2026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46056</v>
      </c>
      <c r="E174" s="1" t="n">
        <v>46216</v>
      </c>
      <c r="F174" t="inlineStr">
        <is>
          <t>JÖNKÖPINGS LÄN</t>
        </is>
      </c>
      <c r="G174" t="inlineStr">
        <is>
          <t>ANEBY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8021-2025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46216</v>
      </c>
      <c r="F175" t="inlineStr">
        <is>
          <t>JÖNKÖPINGS LÄN</t>
        </is>
      </c>
      <c r="G175" t="inlineStr">
        <is>
          <t>ANEBY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6827-2026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46057</v>
      </c>
      <c r="E176" s="1" t="n">
        <v>46216</v>
      </c>
      <c r="F176" t="inlineStr">
        <is>
          <t>JÖNKÖPINGS LÄN</t>
        </is>
      </c>
      <c r="G176" t="inlineStr">
        <is>
          <t>ANEBY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46057</v>
      </c>
      <c r="E177" s="1" t="n">
        <v>46216</v>
      </c>
      <c r="F177" t="inlineStr">
        <is>
          <t>JÖNKÖPINGS LÄN</t>
        </is>
      </c>
      <c r="G177" t="inlineStr">
        <is>
          <t>ANEBY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46216</v>
      </c>
      <c r="F178" t="inlineStr">
        <is>
          <t>JÖNKÖPINGS LÄN</t>
        </is>
      </c>
      <c r="G178" t="inlineStr">
        <is>
          <t>ANEBY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46216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6873-2026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46216</v>
      </c>
      <c r="F180" t="inlineStr">
        <is>
          <t>JÖNKÖPINGS LÄN</t>
        </is>
      </c>
      <c r="G180" t="inlineStr">
        <is>
          <t>ANEBY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46216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7263-2026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46058</v>
      </c>
      <c r="E182" s="1" t="n">
        <v>46216</v>
      </c>
      <c r="F182" t="inlineStr">
        <is>
          <t>JÖNKÖPINGS LÄN</t>
        </is>
      </c>
      <c r="G182" t="inlineStr">
        <is>
          <t>ANEBY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46216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46216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19943-2025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46216</v>
      </c>
      <c r="F185" t="inlineStr">
        <is>
          <t>JÖNKÖPINGS LÄN</t>
        </is>
      </c>
      <c r="G185" t="inlineStr">
        <is>
          <t>ANEBY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57504-2025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46216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58123-2025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46216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46058</v>
      </c>
      <c r="E188" s="1" t="n">
        <v>46216</v>
      </c>
      <c r="F188" t="inlineStr">
        <is>
          <t>JÖNKÖPINGS LÄN</t>
        </is>
      </c>
      <c r="G188" t="inlineStr">
        <is>
          <t>ANEBY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7471-2022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44606</v>
      </c>
      <c r="E189" s="1" t="n">
        <v>46216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8338-2026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46216</v>
      </c>
      <c r="F190" t="inlineStr">
        <is>
          <t>JÖNKÖPINGS LÄN</t>
        </is>
      </c>
      <c r="G190" t="inlineStr">
        <is>
          <t>ANEBY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46216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46216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46216</v>
      </c>
      <c r="F193" t="inlineStr">
        <is>
          <t>JÖNKÖPINGS LÄN</t>
        </is>
      </c>
      <c r="G193" t="inlineStr">
        <is>
          <t>ANEBY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46216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23607-2024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46216</v>
      </c>
      <c r="F195" t="inlineStr">
        <is>
          <t>JÖNKÖPINGS LÄN</t>
        </is>
      </c>
      <c r="G195" t="inlineStr">
        <is>
          <t>ANEBY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61296-2025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46216</v>
      </c>
      <c r="F196" t="inlineStr">
        <is>
          <t>JÖNKÖPINGS LÄN</t>
        </is>
      </c>
      <c r="G196" t="inlineStr">
        <is>
          <t>ANEBY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46216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21353-2022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44705</v>
      </c>
      <c r="E198" s="1" t="n">
        <v>46216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9891-2026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46216</v>
      </c>
      <c r="F199" t="inlineStr">
        <is>
          <t>JÖNKÖPINGS LÄN</t>
        </is>
      </c>
      <c r="G199" t="inlineStr">
        <is>
          <t>ANEBY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46216</v>
      </c>
      <c r="F200" t="inlineStr">
        <is>
          <t>JÖNKÖPINGS LÄN</t>
        </is>
      </c>
      <c r="G200" t="inlineStr">
        <is>
          <t>ANEBY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46216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10162-2026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46216</v>
      </c>
      <c r="F202" t="inlineStr">
        <is>
          <t>JÖNKÖPINGS LÄN</t>
        </is>
      </c>
      <c r="G202" t="inlineStr">
        <is>
          <t>ANEBY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46216</v>
      </c>
      <c r="F203" t="inlineStr">
        <is>
          <t>JÖNKÖPINGS LÄN</t>
        </is>
      </c>
      <c r="G203" t="inlineStr">
        <is>
          <t>ANEBY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11618-2026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46216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36690-2024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45537</v>
      </c>
      <c r="E205" s="1" t="n">
        <v>46216</v>
      </c>
      <c r="F205" t="inlineStr">
        <is>
          <t>JÖNKÖPINGS LÄN</t>
        </is>
      </c>
      <c r="G205" t="inlineStr">
        <is>
          <t>ANEBY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27613-2023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46216</v>
      </c>
      <c r="F206" t="inlineStr">
        <is>
          <t>JÖNKÖPINGS LÄN</t>
        </is>
      </c>
      <c r="G206" t="inlineStr">
        <is>
          <t>ANEBY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46216</v>
      </c>
      <c r="F207" t="inlineStr">
        <is>
          <t>JÖNKÖPINGS LÄN</t>
        </is>
      </c>
      <c r="G207" t="inlineStr">
        <is>
          <t>ANEBY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46216</v>
      </c>
      <c r="F208" t="inlineStr">
        <is>
          <t>JÖNKÖPINGS LÄN</t>
        </is>
      </c>
      <c r="G208" t="inlineStr">
        <is>
          <t>ANEBY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63901-2025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46216</v>
      </c>
      <c r="F209" t="inlineStr">
        <is>
          <t>JÖNKÖPINGS LÄN</t>
        </is>
      </c>
      <c r="G209" t="inlineStr">
        <is>
          <t>ANEBY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46216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46216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35420-2023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46216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12576-2026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46090</v>
      </c>
      <c r="E213" s="1" t="n">
        <v>46216</v>
      </c>
      <c r="F213" t="inlineStr">
        <is>
          <t>JÖNKÖPINGS LÄN</t>
        </is>
      </c>
      <c r="G213" t="inlineStr">
        <is>
          <t>ANEBY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26769-2022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44739</v>
      </c>
      <c r="E214" s="1" t="n">
        <v>46216</v>
      </c>
      <c r="F214" t="inlineStr">
        <is>
          <t>JÖNKÖPINGS LÄN</t>
        </is>
      </c>
      <c r="G214" t="inlineStr">
        <is>
          <t>ANEBY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45412</v>
      </c>
      <c r="E215" s="1" t="n">
        <v>46216</v>
      </c>
      <c r="F215" t="inlineStr">
        <is>
          <t>JÖNKÖPINGS LÄN</t>
        </is>
      </c>
      <c r="G215" t="inlineStr">
        <is>
          <t>ANEBY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9066-2024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46216</v>
      </c>
      <c r="F216" t="inlineStr">
        <is>
          <t>JÖNKÖPINGS LÄN</t>
        </is>
      </c>
      <c r="G216" t="inlineStr">
        <is>
          <t>ANEBY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13038-2026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46216</v>
      </c>
      <c r="F217" t="inlineStr">
        <is>
          <t>JÖNKÖPINGS LÄN</t>
        </is>
      </c>
      <c r="G217" t="inlineStr">
        <is>
          <t>ANEBY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61005-2024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46216</v>
      </c>
      <c r="F218" t="inlineStr">
        <is>
          <t>JÖNKÖPINGS LÄN</t>
        </is>
      </c>
      <c r="G218" t="inlineStr">
        <is>
          <t>ANEBY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14003-2026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46216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20.7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46216</v>
      </c>
      <c r="F220" t="inlineStr">
        <is>
          <t>JÖNKÖPINGS LÄN</t>
        </is>
      </c>
      <c r="G220" t="inlineStr">
        <is>
          <t>ANEBY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37135-2024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46216</v>
      </c>
      <c r="F221" t="inlineStr">
        <is>
          <t>JÖNKÖPINGS LÄN</t>
        </is>
      </c>
      <c r="G221" t="inlineStr">
        <is>
          <t>ANEBY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46216</v>
      </c>
      <c r="F222" t="inlineStr">
        <is>
          <t>JÖNKÖPINGS LÄN</t>
        </is>
      </c>
      <c r="G222" t="inlineStr">
        <is>
          <t>ANEBY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46216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46216</v>
      </c>
      <c r="F224" t="inlineStr">
        <is>
          <t>JÖNKÖPINGS LÄN</t>
        </is>
      </c>
      <c r="G224" t="inlineStr">
        <is>
          <t>ANEBY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46216</v>
      </c>
      <c r="F225" t="inlineStr">
        <is>
          <t>JÖNKÖPINGS LÄN</t>
        </is>
      </c>
      <c r="G225" t="inlineStr">
        <is>
          <t>ANEBY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14822-2026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46216</v>
      </c>
      <c r="F226" t="inlineStr">
        <is>
          <t>JÖNKÖPINGS LÄN</t>
        </is>
      </c>
      <c r="G226" t="inlineStr">
        <is>
          <t>ANEBY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73166-2021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46216</v>
      </c>
      <c r="F227" t="inlineStr">
        <is>
          <t>JÖNKÖPINGS LÄN</t>
        </is>
      </c>
      <c r="G227" t="inlineStr">
        <is>
          <t>ANEBY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10463-2022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44623</v>
      </c>
      <c r="E228" s="1" t="n">
        <v>46216</v>
      </c>
      <c r="F228" t="inlineStr">
        <is>
          <t>JÖNKÖPINGS LÄN</t>
        </is>
      </c>
      <c r="G228" t="inlineStr">
        <is>
          <t>ANEBY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23349-2023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45076</v>
      </c>
      <c r="E229" s="1" t="n">
        <v>46216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15170-2026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46216</v>
      </c>
      <c r="F230" t="inlineStr">
        <is>
          <t>JÖNKÖPINGS LÄN</t>
        </is>
      </c>
      <c r="G230" t="inlineStr">
        <is>
          <t>ANEBY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14329-2024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46216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15195-2026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46216</v>
      </c>
      <c r="F232" t="inlineStr">
        <is>
          <t>JÖNKÖPINGS LÄN</t>
        </is>
      </c>
      <c r="G232" t="inlineStr">
        <is>
          <t>ANEBY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15187-2026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46216</v>
      </c>
      <c r="F233" t="inlineStr">
        <is>
          <t>JÖNKÖPINGS LÄN</t>
        </is>
      </c>
      <c r="G233" t="inlineStr">
        <is>
          <t>ANEBY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46216</v>
      </c>
      <c r="F234" t="inlineStr">
        <is>
          <t>JÖNKÖPINGS LÄN</t>
        </is>
      </c>
      <c r="G234" t="inlineStr">
        <is>
          <t>ANEBY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  <c r="X234">
        <f>HYPERLINK("https://klasma.github.io/Logging_0604/knärot/A 25963-2024 karta knärot.png", "A 25963-2024")</f>
        <v/>
      </c>
      <c r="Y234">
        <f>HYPERLINK("https://klasma.github.io/Logging_0604/klagomål/A 25963-2024 FSC-klagomål.docx", "A 25963-2024")</f>
        <v/>
      </c>
      <c r="Z234">
        <f>HYPERLINK("https://klasma.github.io/Logging_0604/klagomålsmail/A 25963-2024 FSC-klagomål mail.docx", "A 25963-2024")</f>
        <v/>
      </c>
      <c r="AA234">
        <f>HYPERLINK("https://klasma.github.io/Logging_0604/tillsyn/A 25963-2024 tillsynsbegäran.docx", "A 25963-2024")</f>
        <v/>
      </c>
      <c r="AB234">
        <f>HYPERLINK("https://klasma.github.io/Logging_0604/tillsynsmail/A 25963-2024 tillsynsbegäran mail.docx", "A 25963-2024")</f>
        <v/>
      </c>
    </row>
    <row r="235" ht="15" customHeight="1">
      <c r="A235" t="inlineStr">
        <is>
          <t>A 21812-2023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46216</v>
      </c>
      <c r="F235" t="inlineStr">
        <is>
          <t>JÖNKÖPINGS LÄN</t>
        </is>
      </c>
      <c r="G235" t="inlineStr">
        <is>
          <t>ANEBY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16957-2023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45033</v>
      </c>
      <c r="E236" s="1" t="n">
        <v>46216</v>
      </c>
      <c r="F236" t="inlineStr">
        <is>
          <t>JÖNKÖPINGS LÄN</t>
        </is>
      </c>
      <c r="G236" t="inlineStr">
        <is>
          <t>ANEBY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23715-2023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46216</v>
      </c>
      <c r="F237" t="inlineStr">
        <is>
          <t>JÖNKÖPINGS LÄN</t>
        </is>
      </c>
      <c r="G237" t="inlineStr">
        <is>
          <t>ANEBY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23716-2023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46216</v>
      </c>
      <c r="F238" t="inlineStr">
        <is>
          <t>JÖNKÖPINGS LÄN</t>
        </is>
      </c>
      <c r="G238" t="inlineStr">
        <is>
          <t>ANEBY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37690-2023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46216</v>
      </c>
      <c r="F239" t="inlineStr">
        <is>
          <t>JÖNKÖPINGS LÄN</t>
        </is>
      </c>
      <c r="G239" t="inlineStr">
        <is>
          <t>ANEBY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46216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18147-2026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46216</v>
      </c>
      <c r="F241" t="inlineStr">
        <is>
          <t>JÖNKÖPINGS LÄN</t>
        </is>
      </c>
      <c r="G241" t="inlineStr">
        <is>
          <t>ANEBY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52790-2024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45610</v>
      </c>
      <c r="E242" s="1" t="n">
        <v>46216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23557-2022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44721</v>
      </c>
      <c r="E243" s="1" t="n">
        <v>46216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46216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46126</v>
      </c>
      <c r="E245" s="1" t="n">
        <v>46216</v>
      </c>
      <c r="F245" t="inlineStr">
        <is>
          <t>JÖNKÖPINGS LÄN</t>
        </is>
      </c>
      <c r="G245" t="inlineStr">
        <is>
          <t>ANEBY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20219-2025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45772</v>
      </c>
      <c r="E246" s="1" t="n">
        <v>46216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46216</v>
      </c>
      <c r="F247" t="inlineStr">
        <is>
          <t>JÖNKÖPINGS LÄN</t>
        </is>
      </c>
      <c r="G247" t="inlineStr">
        <is>
          <t>ANEBY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6512-2023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46216</v>
      </c>
      <c r="F248" t="inlineStr">
        <is>
          <t>JÖNKÖPINGS LÄN</t>
        </is>
      </c>
      <c r="G248" t="inlineStr">
        <is>
          <t>ANEBY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43613-2023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45184</v>
      </c>
      <c r="E249" s="1" t="n">
        <v>46216</v>
      </c>
      <c r="F249" t="inlineStr">
        <is>
          <t>JÖNKÖPINGS LÄN</t>
        </is>
      </c>
      <c r="G249" t="inlineStr">
        <is>
          <t>ANEBY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12477-2023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44999</v>
      </c>
      <c r="E250" s="1" t="n">
        <v>46216</v>
      </c>
      <c r="F250" t="inlineStr">
        <is>
          <t>JÖNKÖPINGS LÄN</t>
        </is>
      </c>
      <c r="G250" t="inlineStr">
        <is>
          <t>ANEBY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46216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45665</v>
      </c>
      <c r="E252" s="1" t="n">
        <v>46216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41144-2021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44423</v>
      </c>
      <c r="E253" s="1" t="n">
        <v>46216</v>
      </c>
      <c r="F253" t="inlineStr">
        <is>
          <t>JÖNKÖPINGS LÄN</t>
        </is>
      </c>
      <c r="G253" t="inlineStr">
        <is>
          <t>ANEBY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4836-2023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44957</v>
      </c>
      <c r="E254" s="1" t="n">
        <v>46216</v>
      </c>
      <c r="F254" t="inlineStr">
        <is>
          <t>JÖNKÖPINGS LÄN</t>
        </is>
      </c>
      <c r="G254" t="inlineStr">
        <is>
          <t>ANEBY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46216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6930-2024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46216</v>
      </c>
      <c r="F256" t="inlineStr">
        <is>
          <t>JÖNKÖPINGS LÄN</t>
        </is>
      </c>
      <c r="G256" t="inlineStr">
        <is>
          <t>ANEBY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45304</v>
      </c>
      <c r="E257" s="1" t="n">
        <v>46216</v>
      </c>
      <c r="F257" t="inlineStr">
        <is>
          <t>JÖNKÖPINGS LÄN</t>
        </is>
      </c>
      <c r="G257" t="inlineStr">
        <is>
          <t>ANEBY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46126-2025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46216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2199-2022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44578</v>
      </c>
      <c r="E259" s="1" t="n">
        <v>46216</v>
      </c>
      <c r="F259" t="inlineStr">
        <is>
          <t>JÖNKÖPINGS LÄN</t>
        </is>
      </c>
      <c r="G259" t="inlineStr">
        <is>
          <t>ANEBY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26236-2024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46216</v>
      </c>
      <c r="F260" t="inlineStr">
        <is>
          <t>JÖNKÖPINGS LÄN</t>
        </is>
      </c>
      <c r="G260" t="inlineStr">
        <is>
          <t>ANEBY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25894-2026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46176</v>
      </c>
      <c r="E261" s="1" t="n">
        <v>46216</v>
      </c>
      <c r="F261" t="inlineStr">
        <is>
          <t>JÖNKÖPINGS LÄN</t>
        </is>
      </c>
      <c r="G261" t="inlineStr">
        <is>
          <t>ANEBY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48524-2024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46216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46216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32768-2025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46216</v>
      </c>
      <c r="F264" t="inlineStr">
        <is>
          <t>JÖNKÖPINGS LÄN</t>
        </is>
      </c>
      <c r="G264" t="inlineStr">
        <is>
          <t>ANEBY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56333-2022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46216</v>
      </c>
      <c r="F265" t="inlineStr">
        <is>
          <t>JÖNKÖPINGS LÄN</t>
        </is>
      </c>
      <c r="G265" t="inlineStr">
        <is>
          <t>ANEBY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56339-2022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46216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10155-2024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45364</v>
      </c>
      <c r="E267" s="1" t="n">
        <v>46216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14338-2024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45393</v>
      </c>
      <c r="E268" s="1" t="n">
        <v>46216</v>
      </c>
      <c r="F268" t="inlineStr">
        <is>
          <t>JÖNKÖPINGS LÄN</t>
        </is>
      </c>
      <c r="G268" t="inlineStr">
        <is>
          <t>ANEBY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49398-2022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46216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18552-2025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46216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47409-2022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44851</v>
      </c>
      <c r="E271" s="1" t="n">
        <v>46216</v>
      </c>
      <c r="F271" t="inlineStr">
        <is>
          <t>JÖNKÖPINGS LÄN</t>
        </is>
      </c>
      <c r="G271" t="inlineStr">
        <is>
          <t>ANEBY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11353-2024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46216</v>
      </c>
      <c r="F272" t="inlineStr">
        <is>
          <t>JÖNKÖPINGS LÄN</t>
        </is>
      </c>
      <c r="G272" t="inlineStr">
        <is>
          <t>ANEBY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9917-2022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44620</v>
      </c>
      <c r="E273" s="1" t="n">
        <v>46216</v>
      </c>
      <c r="F273" t="inlineStr">
        <is>
          <t>JÖNKÖPINGS LÄN</t>
        </is>
      </c>
      <c r="G273" t="inlineStr">
        <is>
          <t>ANEBY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14235-2023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46216</v>
      </c>
      <c r="F274" t="inlineStr">
        <is>
          <t>JÖNKÖPINGS LÄN</t>
        </is>
      </c>
      <c r="G274" t="inlineStr">
        <is>
          <t>ANEBY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10456-2023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46216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45379</v>
      </c>
      <c r="E276" s="1" t="n">
        <v>46216</v>
      </c>
      <c r="F276" t="inlineStr">
        <is>
          <t>JÖNKÖPINGS LÄN</t>
        </is>
      </c>
      <c r="G276" t="inlineStr">
        <is>
          <t>ANEBY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33051-2023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46216</v>
      </c>
      <c r="F277" t="inlineStr">
        <is>
          <t>JÖNKÖPINGS LÄN</t>
        </is>
      </c>
      <c r="G277" t="inlineStr">
        <is>
          <t>ANEBY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51185-2021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44461</v>
      </c>
      <c r="E278" s="1" t="n">
        <v>46216</v>
      </c>
      <c r="F278" t="inlineStr">
        <is>
          <t>JÖNKÖPINGS LÄN</t>
        </is>
      </c>
      <c r="G278" t="inlineStr">
        <is>
          <t>ANEBY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16506-2022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44671</v>
      </c>
      <c r="E279" s="1" t="n">
        <v>46216</v>
      </c>
      <c r="F279" t="inlineStr">
        <is>
          <t>JÖNKÖPINGS LÄN</t>
        </is>
      </c>
      <c r="G279" t="inlineStr">
        <is>
          <t>ANEBY</t>
        </is>
      </c>
      <c r="H279" t="inlineStr">
        <is>
          <t>Kyrkan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21356-2026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46147</v>
      </c>
      <c r="E280" s="1" t="n">
        <v>46216</v>
      </c>
      <c r="F280" t="inlineStr">
        <is>
          <t>JÖNKÖPINGS LÄN</t>
        </is>
      </c>
      <c r="G280" t="inlineStr">
        <is>
          <t>ANEBY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27136-2026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46216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8846-2024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46216</v>
      </c>
      <c r="F282" t="inlineStr">
        <is>
          <t>JÖNKÖPINGS LÄN</t>
        </is>
      </c>
      <c r="G282" t="inlineStr">
        <is>
          <t>ANEBY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27356-2026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46216</v>
      </c>
      <c r="F283" t="inlineStr">
        <is>
          <t>JÖNKÖPINGS LÄN</t>
        </is>
      </c>
      <c r="G283" t="inlineStr">
        <is>
          <t>ANEBY</t>
        </is>
      </c>
      <c r="I283" t="n">
        <v>17.9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10355-2024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46216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10357-2024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46216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27357-2026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46216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46216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27527-2026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46216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30028-2023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46216</v>
      </c>
      <c r="F289" t="inlineStr">
        <is>
          <t>JÖNKÖPINGS LÄN</t>
        </is>
      </c>
      <c r="G289" t="inlineStr">
        <is>
          <t>ANEBY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46216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27994-2026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46216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10302-2024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46216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46216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46216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27997-2026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46216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46216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67414-2021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46216</v>
      </c>
      <c r="F297" t="inlineStr">
        <is>
          <t>JÖNKÖPINGS LÄN</t>
        </is>
      </c>
      <c r="G297" t="inlineStr">
        <is>
          <t>ANEBY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16928-2023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45033</v>
      </c>
      <c r="E298" s="1" t="n">
        <v>46216</v>
      </c>
      <c r="F298" t="inlineStr">
        <is>
          <t>JÖNKÖPINGS LÄN</t>
        </is>
      </c>
      <c r="G298" t="inlineStr">
        <is>
          <t>ANEBY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59507-2022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44900</v>
      </c>
      <c r="E299" s="1" t="n">
        <v>46216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23354-2023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45076</v>
      </c>
      <c r="E300" s="1" t="n">
        <v>46216</v>
      </c>
      <c r="F300" t="inlineStr">
        <is>
          <t>JÖNKÖPINGS LÄN</t>
        </is>
      </c>
      <c r="G300" t="inlineStr">
        <is>
          <t>ANEBY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24784-2024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46216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37343-2023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45156</v>
      </c>
      <c r="E302" s="1" t="n">
        <v>46216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46216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23712-2023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45077</v>
      </c>
      <c r="E304" s="1" t="n">
        <v>46216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26498-2023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46216</v>
      </c>
      <c r="F305" t="inlineStr">
        <is>
          <t>JÖNKÖPINGS LÄN</t>
        </is>
      </c>
      <c r="G305" t="inlineStr">
        <is>
          <t>ANEBY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38794-2023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45161</v>
      </c>
      <c r="E306" s="1" t="n">
        <v>46216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28232-2026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46216</v>
      </c>
      <c r="F307" t="inlineStr">
        <is>
          <t>JÖNKÖPINGS LÄN</t>
        </is>
      </c>
      <c r="G307" t="inlineStr">
        <is>
          <t>ANEBY</t>
        </is>
      </c>
      <c r="H307" t="inlineStr">
        <is>
          <t>Kyrkan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16306-2023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46216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54095-2024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46216</v>
      </c>
      <c r="F309" t="inlineStr">
        <is>
          <t>JÖNKÖPINGS LÄN</t>
        </is>
      </c>
      <c r="G309" t="inlineStr">
        <is>
          <t>ANEBY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16679-2024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46216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15091-2023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45016</v>
      </c>
      <c r="E311" s="1" t="n">
        <v>46216</v>
      </c>
      <c r="F311" t="inlineStr">
        <is>
          <t>JÖNKÖPINGS LÄN</t>
        </is>
      </c>
      <c r="G311" t="inlineStr">
        <is>
          <t>ANEBY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46216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8811-2023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44978</v>
      </c>
      <c r="E313" s="1" t="n">
        <v>46216</v>
      </c>
      <c r="F313" t="inlineStr">
        <is>
          <t>JÖNKÖPINGS LÄN</t>
        </is>
      </c>
      <c r="G313" t="inlineStr">
        <is>
          <t>ANEBY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11369-2024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46216</v>
      </c>
      <c r="F314" t="inlineStr">
        <is>
          <t>JÖNKÖPINGS LÄN</t>
        </is>
      </c>
      <c r="G314" t="inlineStr">
        <is>
          <t>ANEBY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46783-2023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46216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46216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46216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46216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46216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46216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46216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46216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23858-2026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46216</v>
      </c>
      <c r="F323" t="inlineStr">
        <is>
          <t>JÖNKÖPINGS LÄN</t>
        </is>
      </c>
      <c r="G323" t="inlineStr">
        <is>
          <t>ANEBY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9069-2024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46216</v>
      </c>
      <c r="F324" t="inlineStr">
        <is>
          <t>JÖNKÖPINGS LÄN</t>
        </is>
      </c>
      <c r="G324" t="inlineStr">
        <is>
          <t>ANEBY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9071-2024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45357</v>
      </c>
      <c r="E325" s="1" t="n">
        <v>46216</v>
      </c>
      <c r="F325" t="inlineStr">
        <is>
          <t>JÖNKÖPINGS LÄN</t>
        </is>
      </c>
      <c r="G325" t="inlineStr">
        <is>
          <t>ANEBY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51160-2021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44461</v>
      </c>
      <c r="E326" s="1" t="n">
        <v>46216</v>
      </c>
      <c r="F326" t="inlineStr">
        <is>
          <t>JÖNKÖPINGS LÄN</t>
        </is>
      </c>
      <c r="G326" t="inlineStr">
        <is>
          <t>ANEBY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25513-2023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46216</v>
      </c>
      <c r="F327" t="inlineStr">
        <is>
          <t>JÖNKÖPINGS LÄN</t>
        </is>
      </c>
      <c r="G327" t="inlineStr">
        <is>
          <t>ANEBY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15835-2024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45404</v>
      </c>
      <c r="E328" s="1" t="n">
        <v>46216</v>
      </c>
      <c r="F328" t="inlineStr">
        <is>
          <t>JÖNKÖPINGS LÄN</t>
        </is>
      </c>
      <c r="G328" t="inlineStr">
        <is>
          <t>ANEBY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51331-2021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44461</v>
      </c>
      <c r="E329" s="1" t="n">
        <v>46216</v>
      </c>
      <c r="F329" t="inlineStr">
        <is>
          <t>JÖNKÖPINGS LÄN</t>
        </is>
      </c>
      <c r="G329" t="inlineStr">
        <is>
          <t>ANEBY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46780-2023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46216</v>
      </c>
      <c r="F330" t="inlineStr">
        <is>
          <t>JÖNKÖPINGS LÄN</t>
        </is>
      </c>
      <c r="G330" t="inlineStr">
        <is>
          <t>ANEBY</t>
        </is>
      </c>
      <c r="H330" t="inlineStr">
        <is>
          <t>Sveaskog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10360-2024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46216</v>
      </c>
      <c r="F331" t="inlineStr">
        <is>
          <t>JÖNKÖPINGS LÄN</t>
        </is>
      </c>
      <c r="G331" t="inlineStr">
        <is>
          <t>ANEBY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24672-2026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46216</v>
      </c>
      <c r="F332" t="inlineStr">
        <is>
          <t>JÖNKÖPINGS LÄN</t>
        </is>
      </c>
      <c r="G332" t="inlineStr">
        <is>
          <t>ANEBY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24447-2026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46216</v>
      </c>
      <c r="F333" t="inlineStr">
        <is>
          <t>JÖNKÖPINGS LÄN</t>
        </is>
      </c>
      <c r="G333" t="inlineStr">
        <is>
          <t>ANEBY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46216</v>
      </c>
      <c r="F334" t="inlineStr">
        <is>
          <t>JÖNKÖPINGS LÄN</t>
        </is>
      </c>
      <c r="G334" t="inlineStr">
        <is>
          <t>ANEBY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50069-2024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46216</v>
      </c>
      <c r="F335" t="inlineStr">
        <is>
          <t>JÖNKÖPINGS LÄN</t>
        </is>
      </c>
      <c r="G335" t="inlineStr">
        <is>
          <t>ANEBY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38873-2023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46216</v>
      </c>
      <c r="F336" t="inlineStr">
        <is>
          <t>JÖNKÖPINGS LÄN</t>
        </is>
      </c>
      <c r="G336" t="inlineStr">
        <is>
          <t>ANEBY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46216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46784-2023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46216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20568-2025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46216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46216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46216</v>
      </c>
      <c r="F341" t="inlineStr">
        <is>
          <t>JÖNKÖPINGS LÄN</t>
        </is>
      </c>
      <c r="G341" t="inlineStr">
        <is>
          <t>ANEBY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48999-2024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46216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47118-2023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45201</v>
      </c>
      <c r="E343" s="1" t="n">
        <v>46216</v>
      </c>
      <c r="F343" t="inlineStr">
        <is>
          <t>JÖNKÖPINGS LÄN</t>
        </is>
      </c>
      <c r="G343" t="inlineStr">
        <is>
          <t>ANEBY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46216</v>
      </c>
      <c r="F344" t="inlineStr">
        <is>
          <t>JÖNKÖPINGS LÄN</t>
        </is>
      </c>
      <c r="G344" t="inlineStr">
        <is>
          <t>ANEBY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23966-2025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46216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46216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46216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46216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46216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46216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46216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46216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46216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46216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46216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46216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46216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46216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46216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2026-07-13T14:47:50Z</dcterms:created>
  <dcterms:modified xmlns:dcterms="http://purl.org/dc/terms/" xmlns:xsi="http://www.w3.org/2001/XMLSchema-instance" xsi:type="dcterms:W3CDTF">2026-07-13T14:47:50Z</dcterms:modified>
</cp:coreProperties>
</file>