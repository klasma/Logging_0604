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45894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45894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45894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45894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45894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45894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45894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45894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26784-2022</t>
        </is>
      </c>
      <c r="B10" s="1" t="n">
        <v>44740.37982638889</v>
      </c>
      <c r="C10" s="1" t="n">
        <v>45894</v>
      </c>
      <c r="D10" t="inlineStr">
        <is>
          <t>JÖNKÖPINGS LÄN</t>
        </is>
      </c>
      <c r="E10" t="inlineStr">
        <is>
          <t>ANEBY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HYPERLINK("https://klasma.github.io/Logging_0604/artfynd/A 26784-2022 artfynd.xlsx", "A 26784-2022")</f>
        <v/>
      </c>
      <c r="T10">
        <f>HYPERLINK("https://klasma.github.io/Logging_0604/kartor/A 26784-2022 karta.png", "A 26784-2022")</f>
        <v/>
      </c>
      <c r="V10">
        <f>HYPERLINK("https://klasma.github.io/Logging_0604/klagomål/A 26784-2022 FSC-klagomål.docx", "A 26784-2022")</f>
        <v/>
      </c>
      <c r="W10">
        <f>HYPERLINK("https://klasma.github.io/Logging_0604/klagomålsmail/A 26784-2022 FSC-klagomål mail.docx", "A 26784-2022")</f>
        <v/>
      </c>
      <c r="X10">
        <f>HYPERLINK("https://klasma.github.io/Logging_0604/tillsyn/A 26784-2022 tillsynsbegäran.docx", "A 26784-2022")</f>
        <v/>
      </c>
      <c r="Y10">
        <f>HYPERLINK("https://klasma.github.io/Logging_0604/tillsynsmail/A 26784-2022 tillsynsbegäran mail.docx", "A 26784-2022")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45894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412-2022</t>
        </is>
      </c>
      <c r="B12" s="1" t="n">
        <v>44565</v>
      </c>
      <c r="C12" s="1" t="n">
        <v>45894</v>
      </c>
      <c r="D12" t="inlineStr">
        <is>
          <t>JÖNKÖPINGS LÄN</t>
        </is>
      </c>
      <c r="E12" t="inlineStr">
        <is>
          <t>ANEBY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HYPERLINK("https://klasma.github.io/Logging_0604/artfynd/A 412-2022 artfynd.xlsx", "A 412-2022")</f>
        <v/>
      </c>
      <c r="T12">
        <f>HYPERLINK("https://klasma.github.io/Logging_0604/kartor/A 412-2022 karta.png", "A 412-2022")</f>
        <v/>
      </c>
      <c r="V12">
        <f>HYPERLINK("https://klasma.github.io/Logging_0604/klagomål/A 412-2022 FSC-klagomål.docx", "A 412-2022")</f>
        <v/>
      </c>
      <c r="W12">
        <f>HYPERLINK("https://klasma.github.io/Logging_0604/klagomålsmail/A 412-2022 FSC-klagomål mail.docx", "A 412-2022")</f>
        <v/>
      </c>
      <c r="X12">
        <f>HYPERLINK("https://klasma.github.io/Logging_0604/tillsyn/A 412-2022 tillsynsbegäran.docx", "A 412-2022")</f>
        <v/>
      </c>
      <c r="Y12">
        <f>HYPERLINK("https://klasma.github.io/Logging_0604/tillsynsmail/A 412-2022 tillsynsbegäran mail.docx", "A 412-2022")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45894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45894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45894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45894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45894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45894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45894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45894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45894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45894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45894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45894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45894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45894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45894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45894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45894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45894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45894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45894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45894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45894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45894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45894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45894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45894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45894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45894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45894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45894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45894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45894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45894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45894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45894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45894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45894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45894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45894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45894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45894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10682-2022</t>
        </is>
      </c>
      <c r="B54" s="1" t="n">
        <v>44624</v>
      </c>
      <c r="C54" s="1" t="n">
        <v>45894</v>
      </c>
      <c r="D54" t="inlineStr">
        <is>
          <t>JÖNKÖPINGS LÄN</t>
        </is>
      </c>
      <c r="E54" t="inlineStr">
        <is>
          <t>ANEBY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51978-2020</t>
        </is>
      </c>
      <c r="B55" s="1" t="n">
        <v>44116</v>
      </c>
      <c r="C55" s="1" t="n">
        <v>45894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45894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48678-2020</t>
        </is>
      </c>
      <c r="B57" s="1" t="n">
        <v>44098</v>
      </c>
      <c r="C57" s="1" t="n">
        <v>45894</v>
      </c>
      <c r="D57" t="inlineStr">
        <is>
          <t>JÖNKÖPINGS LÄN</t>
        </is>
      </c>
      <c r="E57" t="inlineStr">
        <is>
          <t>ANEBY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45894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45894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26763-2022</t>
        </is>
      </c>
      <c r="B60" s="1" t="n">
        <v>44739</v>
      </c>
      <c r="C60" s="1" t="n">
        <v>45894</v>
      </c>
      <c r="D60" t="inlineStr">
        <is>
          <t>JÖNKÖPINGS LÄN</t>
        </is>
      </c>
      <c r="E60" t="inlineStr">
        <is>
          <t>ANEBY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26766-2022</t>
        </is>
      </c>
      <c r="B61" s="1" t="n">
        <v>44739</v>
      </c>
      <c r="C61" s="1" t="n">
        <v>45894</v>
      </c>
      <c r="D61" t="inlineStr">
        <is>
          <t>JÖNKÖPINGS LÄN</t>
        </is>
      </c>
      <c r="E61" t="inlineStr">
        <is>
          <t>ANEBY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26768-2022</t>
        </is>
      </c>
      <c r="B62" s="1" t="n">
        <v>44739</v>
      </c>
      <c r="C62" s="1" t="n">
        <v>45894</v>
      </c>
      <c r="D62" t="inlineStr">
        <is>
          <t>JÖNKÖPINGS LÄN</t>
        </is>
      </c>
      <c r="E62" t="inlineStr">
        <is>
          <t>ANEBY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45894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62354-2021</t>
        </is>
      </c>
      <c r="B64" s="1" t="n">
        <v>44503</v>
      </c>
      <c r="C64" s="1" t="n">
        <v>45894</v>
      </c>
      <c r="D64" t="inlineStr">
        <is>
          <t>JÖNKÖPINGS LÄN</t>
        </is>
      </c>
      <c r="E64" t="inlineStr">
        <is>
          <t>ANEBY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45894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7358-2022</t>
        </is>
      </c>
      <c r="B66" s="1" t="n">
        <v>44606.57155092592</v>
      </c>
      <c r="C66" s="1" t="n">
        <v>45894</v>
      </c>
      <c r="D66" t="inlineStr">
        <is>
          <t>JÖNKÖPINGS LÄN</t>
        </is>
      </c>
      <c r="E66" t="inlineStr">
        <is>
          <t>ANEBY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5186-2023</t>
        </is>
      </c>
      <c r="B67" s="1" t="n">
        <v>44959.33334490741</v>
      </c>
      <c r="C67" s="1" t="n">
        <v>45894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20569-2025</t>
        </is>
      </c>
      <c r="B68" s="1" t="n">
        <v>45775.66797453703</v>
      </c>
      <c r="C68" s="1" t="n">
        <v>45894</v>
      </c>
      <c r="D68" t="inlineStr">
        <is>
          <t>JÖNKÖPINGS LÄN</t>
        </is>
      </c>
      <c r="E68" t="inlineStr">
        <is>
          <t>ANEBY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9540-2024</t>
        </is>
      </c>
      <c r="B69" s="1" t="n">
        <v>45359</v>
      </c>
      <c r="C69" s="1" t="n">
        <v>45894</v>
      </c>
      <c r="D69" t="inlineStr">
        <is>
          <t>JÖNKÖPINGS LÄN</t>
        </is>
      </c>
      <c r="E69" t="inlineStr">
        <is>
          <t>ANEBY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20767-2022</t>
        </is>
      </c>
      <c r="B70" s="1" t="n">
        <v>44700</v>
      </c>
      <c r="C70" s="1" t="n">
        <v>45894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39532-2024</t>
        </is>
      </c>
      <c r="B71" s="1" t="n">
        <v>45551</v>
      </c>
      <c r="C71" s="1" t="n">
        <v>45894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37708-2023</t>
        </is>
      </c>
      <c r="B72" s="1" t="n">
        <v>45159</v>
      </c>
      <c r="C72" s="1" t="n">
        <v>45894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45894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45894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9069-2024</t>
        </is>
      </c>
      <c r="B75" s="1" t="n">
        <v>45357</v>
      </c>
      <c r="C75" s="1" t="n">
        <v>45894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9071-2024</t>
        </is>
      </c>
      <c r="B76" s="1" t="n">
        <v>45357</v>
      </c>
      <c r="C76" s="1" t="n">
        <v>45894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7521-2025</t>
        </is>
      </c>
      <c r="B77" s="1" t="n">
        <v>45702</v>
      </c>
      <c r="C77" s="1" t="n">
        <v>45894</v>
      </c>
      <c r="D77" t="inlineStr">
        <is>
          <t>JÖNKÖPINGS LÄN</t>
        </is>
      </c>
      <c r="E77" t="inlineStr">
        <is>
          <t>ANEBY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51160-2021</t>
        </is>
      </c>
      <c r="B78" s="1" t="n">
        <v>44461</v>
      </c>
      <c r="C78" s="1" t="n">
        <v>45894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25513-2023</t>
        </is>
      </c>
      <c r="B79" s="1" t="n">
        <v>45089</v>
      </c>
      <c r="C79" s="1" t="n">
        <v>45894</v>
      </c>
      <c r="D79" t="inlineStr">
        <is>
          <t>JÖNKÖPINGS LÄN</t>
        </is>
      </c>
      <c r="E79" t="inlineStr">
        <is>
          <t>ANEBY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36690-2024</t>
        </is>
      </c>
      <c r="B80" s="1" t="n">
        <v>45537.66780092593</v>
      </c>
      <c r="C80" s="1" t="n">
        <v>45894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27613-2023</t>
        </is>
      </c>
      <c r="B81" s="1" t="n">
        <v>45097</v>
      </c>
      <c r="C81" s="1" t="n">
        <v>45894</v>
      </c>
      <c r="D81" t="inlineStr">
        <is>
          <t>JÖNKÖPINGS LÄN</t>
        </is>
      </c>
      <c r="E81" t="inlineStr">
        <is>
          <t>ANEBY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750-2025</t>
        </is>
      </c>
      <c r="B82" s="1" t="n">
        <v>45665.44402777778</v>
      </c>
      <c r="C82" s="1" t="n">
        <v>45894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12548-2024</t>
        </is>
      </c>
      <c r="B83" s="1" t="n">
        <v>45379.65076388889</v>
      </c>
      <c r="C83" s="1" t="n">
        <v>45894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54399-2024</t>
        </is>
      </c>
      <c r="B84" s="1" t="n">
        <v>45617.46487268519</v>
      </c>
      <c r="C84" s="1" t="n">
        <v>45894</v>
      </c>
      <c r="D84" t="inlineStr">
        <is>
          <t>JÖNKÖPINGS LÄN</t>
        </is>
      </c>
      <c r="E84" t="inlineStr">
        <is>
          <t>ANEBY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54415-2024</t>
        </is>
      </c>
      <c r="B85" s="1" t="n">
        <v>45617.4812962963</v>
      </c>
      <c r="C85" s="1" t="n">
        <v>45894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26241-2024</t>
        </is>
      </c>
      <c r="B86" s="1" t="n">
        <v>45468.63356481482</v>
      </c>
      <c r="C86" s="1" t="n">
        <v>45894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35420-2023</t>
        </is>
      </c>
      <c r="B87" s="1" t="n">
        <v>45146</v>
      </c>
      <c r="C87" s="1" t="n">
        <v>45894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31938-2023</t>
        </is>
      </c>
      <c r="B88" s="1" t="n">
        <v>45107</v>
      </c>
      <c r="C88" s="1" t="n">
        <v>45894</v>
      </c>
      <c r="D88" t="inlineStr">
        <is>
          <t>JÖNKÖPINGS LÄN</t>
        </is>
      </c>
      <c r="E88" t="inlineStr">
        <is>
          <t>ANEBY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26769-2022</t>
        </is>
      </c>
      <c r="B89" s="1" t="n">
        <v>44739</v>
      </c>
      <c r="C89" s="1" t="n">
        <v>45894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33048-2023</t>
        </is>
      </c>
      <c r="B90" s="1" t="n">
        <v>45126</v>
      </c>
      <c r="C90" s="1" t="n">
        <v>45894</v>
      </c>
      <c r="D90" t="inlineStr">
        <is>
          <t>JÖNKÖPINGS LÄN</t>
        </is>
      </c>
      <c r="E90" t="inlineStr">
        <is>
          <t>ANEBY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15835-2024</t>
        </is>
      </c>
      <c r="B91" s="1" t="n">
        <v>45404</v>
      </c>
      <c r="C91" s="1" t="n">
        <v>45894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51331-2021</t>
        </is>
      </c>
      <c r="B92" s="1" t="n">
        <v>44461.62759259259</v>
      </c>
      <c r="C92" s="1" t="n">
        <v>45894</v>
      </c>
      <c r="D92" t="inlineStr">
        <is>
          <t>JÖNKÖPINGS LÄN</t>
        </is>
      </c>
      <c r="E92" t="inlineStr">
        <is>
          <t>ANEBY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5401-2025</t>
        </is>
      </c>
      <c r="B93" s="1" t="n">
        <v>45692.64210648148</v>
      </c>
      <c r="C93" s="1" t="n">
        <v>45894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17082-2024</t>
        </is>
      </c>
      <c r="B94" s="1" t="n">
        <v>45412.49434027778</v>
      </c>
      <c r="C94" s="1" t="n">
        <v>45894</v>
      </c>
      <c r="D94" t="inlineStr">
        <is>
          <t>JÖNKÖPINGS LÄN</t>
        </is>
      </c>
      <c r="E94" t="inlineStr">
        <is>
          <t>ANEBY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9066-2024</t>
        </is>
      </c>
      <c r="B95" s="1" t="n">
        <v>45357</v>
      </c>
      <c r="C95" s="1" t="n">
        <v>45894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46943-2020</t>
        </is>
      </c>
      <c r="B96" s="1" t="n">
        <v>44096</v>
      </c>
      <c r="C96" s="1" t="n">
        <v>45894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5400-2025</t>
        </is>
      </c>
      <c r="B97" s="1" t="n">
        <v>45692.64164351852</v>
      </c>
      <c r="C97" s="1" t="n">
        <v>45894</v>
      </c>
      <c r="D97" t="inlineStr">
        <is>
          <t>JÖNKÖPINGS LÄN</t>
        </is>
      </c>
      <c r="E97" t="inlineStr">
        <is>
          <t>ANEBY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42795-2023</t>
        </is>
      </c>
      <c r="B98" s="1" t="n">
        <v>45182.28321759259</v>
      </c>
      <c r="C98" s="1" t="n">
        <v>45894</v>
      </c>
      <c r="D98" t="inlineStr">
        <is>
          <t>JÖNKÖPINGS LÄN</t>
        </is>
      </c>
      <c r="E98" t="inlineStr">
        <is>
          <t>ANEBY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16960-2023</t>
        </is>
      </c>
      <c r="B99" s="1" t="n">
        <v>45033</v>
      </c>
      <c r="C99" s="1" t="n">
        <v>45894</v>
      </c>
      <c r="D99" t="inlineStr">
        <is>
          <t>JÖNKÖPINGS LÄN</t>
        </is>
      </c>
      <c r="E99" t="inlineStr">
        <is>
          <t>ANEBY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19362-2025</t>
        </is>
      </c>
      <c r="B100" s="1" t="n">
        <v>45769</v>
      </c>
      <c r="C100" s="1" t="n">
        <v>45894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49437-2023</t>
        </is>
      </c>
      <c r="B101" s="1" t="n">
        <v>45205</v>
      </c>
      <c r="C101" s="1" t="n">
        <v>45894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49502-2023</t>
        </is>
      </c>
      <c r="B102" s="1" t="n">
        <v>45205</v>
      </c>
      <c r="C102" s="1" t="n">
        <v>45894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10017-2023</t>
        </is>
      </c>
      <c r="B103" s="1" t="n">
        <v>44985</v>
      </c>
      <c r="C103" s="1" t="n">
        <v>45894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61005-2024</t>
        </is>
      </c>
      <c r="B104" s="1" t="n">
        <v>45645</v>
      </c>
      <c r="C104" s="1" t="n">
        <v>45894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21026-2024</t>
        </is>
      </c>
      <c r="B105" s="1" t="n">
        <v>45439</v>
      </c>
      <c r="C105" s="1" t="n">
        <v>45894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11346-2024</t>
        </is>
      </c>
      <c r="B106" s="1" t="n">
        <v>45372.33732638889</v>
      </c>
      <c r="C106" s="1" t="n">
        <v>45894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9070-2024</t>
        </is>
      </c>
      <c r="B107" s="1" t="n">
        <v>45357</v>
      </c>
      <c r="C107" s="1" t="n">
        <v>45894</v>
      </c>
      <c r="D107" t="inlineStr">
        <is>
          <t>JÖNKÖPINGS LÄN</t>
        </is>
      </c>
      <c r="E107" t="inlineStr">
        <is>
          <t>ANEBY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3933-2023</t>
        </is>
      </c>
      <c r="B108" s="1" t="n">
        <v>44952.35163194445</v>
      </c>
      <c r="C108" s="1" t="n">
        <v>45894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7945-2025</t>
        </is>
      </c>
      <c r="B109" s="1" t="n">
        <v>45707.40759259259</v>
      </c>
      <c r="C109" s="1" t="n">
        <v>45894</v>
      </c>
      <c r="D109" t="inlineStr">
        <is>
          <t>JÖNKÖPINGS LÄN</t>
        </is>
      </c>
      <c r="E109" t="inlineStr">
        <is>
          <t>ANEBY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32750-2023</t>
        </is>
      </c>
      <c r="B110" s="1" t="n">
        <v>45122.73332175926</v>
      </c>
      <c r="C110" s="1" t="n">
        <v>45894</v>
      </c>
      <c r="D110" t="inlineStr">
        <is>
          <t>JÖNKÖPINGS LÄN</t>
        </is>
      </c>
      <c r="E110" t="inlineStr">
        <is>
          <t>ANEBY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19335-2025</t>
        </is>
      </c>
      <c r="B111" s="1" t="n">
        <v>45769</v>
      </c>
      <c r="C111" s="1" t="n">
        <v>45894</v>
      </c>
      <c r="D111" t="inlineStr">
        <is>
          <t>JÖNKÖPINGS LÄN</t>
        </is>
      </c>
      <c r="E111" t="inlineStr">
        <is>
          <t>ANEBY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73166-2021</t>
        </is>
      </c>
      <c r="B112" s="1" t="n">
        <v>44550</v>
      </c>
      <c r="C112" s="1" t="n">
        <v>45894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63030-2020</t>
        </is>
      </c>
      <c r="B113" s="1" t="n">
        <v>44162.52068287037</v>
      </c>
      <c r="C113" s="1" t="n">
        <v>45894</v>
      </c>
      <c r="D113" t="inlineStr">
        <is>
          <t>JÖNKÖPINGS LÄN</t>
        </is>
      </c>
      <c r="E113" t="inlineStr">
        <is>
          <t>ANEBY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55688-2022</t>
        </is>
      </c>
      <c r="B114" s="1" t="n">
        <v>44888.51291666667</v>
      </c>
      <c r="C114" s="1" t="n">
        <v>45894</v>
      </c>
      <c r="D114" t="inlineStr">
        <is>
          <t>JÖNKÖPINGS LÄN</t>
        </is>
      </c>
      <c r="E114" t="inlineStr">
        <is>
          <t>ANEBY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10301-2024</t>
        </is>
      </c>
      <c r="B115" s="1" t="n">
        <v>45365.50953703704</v>
      </c>
      <c r="C115" s="1" t="n">
        <v>45894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10360-2024</t>
        </is>
      </c>
      <c r="B116" s="1" t="n">
        <v>45365.60637731481</v>
      </c>
      <c r="C116" s="1" t="n">
        <v>45894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10481-2023</t>
        </is>
      </c>
      <c r="B117" s="1" t="n">
        <v>44981</v>
      </c>
      <c r="C117" s="1" t="n">
        <v>45894</v>
      </c>
      <c r="D117" t="inlineStr">
        <is>
          <t>JÖNKÖPINGS LÄN</t>
        </is>
      </c>
      <c r="E117" t="inlineStr">
        <is>
          <t>ANEBY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46095-2022</t>
        </is>
      </c>
      <c r="B118" s="1" t="n">
        <v>44847.3783912037</v>
      </c>
      <c r="C118" s="1" t="n">
        <v>45894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10463-2022</t>
        </is>
      </c>
      <c r="B119" s="1" t="n">
        <v>44623</v>
      </c>
      <c r="C119" s="1" t="n">
        <v>45894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51452-2021</t>
        </is>
      </c>
      <c r="B120" s="1" t="n">
        <v>44460</v>
      </c>
      <c r="C120" s="1" t="n">
        <v>45894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49070-2023</t>
        </is>
      </c>
      <c r="B121" s="1" t="n">
        <v>45204</v>
      </c>
      <c r="C121" s="1" t="n">
        <v>45894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49073-2023</t>
        </is>
      </c>
      <c r="B122" s="1" t="n">
        <v>45204</v>
      </c>
      <c r="C122" s="1" t="n">
        <v>45894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23349-2023</t>
        </is>
      </c>
      <c r="B123" s="1" t="n">
        <v>45076</v>
      </c>
      <c r="C123" s="1" t="n">
        <v>45894</v>
      </c>
      <c r="D123" t="inlineStr">
        <is>
          <t>JÖNKÖPINGS LÄN</t>
        </is>
      </c>
      <c r="E123" t="inlineStr">
        <is>
          <t>ANEBY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10354-2024</t>
        </is>
      </c>
      <c r="B124" s="1" t="n">
        <v>45365.59902777777</v>
      </c>
      <c r="C124" s="1" t="n">
        <v>45894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52267-2024</t>
        </is>
      </c>
      <c r="B125" s="1" t="n">
        <v>45608</v>
      </c>
      <c r="C125" s="1" t="n">
        <v>45894</v>
      </c>
      <c r="D125" t="inlineStr">
        <is>
          <t>JÖNKÖPINGS LÄN</t>
        </is>
      </c>
      <c r="E125" t="inlineStr">
        <is>
          <t>ANEBY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14329-2024</t>
        </is>
      </c>
      <c r="B126" s="1" t="n">
        <v>45393.70334490741</v>
      </c>
      <c r="C126" s="1" t="n">
        <v>45894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65452-2020</t>
        </is>
      </c>
      <c r="B127" s="1" t="n">
        <v>44169</v>
      </c>
      <c r="C127" s="1" t="n">
        <v>45894</v>
      </c>
      <c r="D127" t="inlineStr">
        <is>
          <t>JÖNKÖPINGS LÄN</t>
        </is>
      </c>
      <c r="E127" t="inlineStr">
        <is>
          <t>ANEBY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25963-2024</t>
        </is>
      </c>
      <c r="B128" s="1" t="n">
        <v>45467.67300925926</v>
      </c>
      <c r="C128" s="1" t="n">
        <v>45894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HYPERLINK("https://klasma.github.io/Logging_0604/knärot/A 25963-2024 karta knärot.png", "A 25963-2024")</f>
        <v/>
      </c>
      <c r="V128">
        <f>HYPERLINK("https://klasma.github.io/Logging_0604/klagomål/A 25963-2024 FSC-klagomål.docx", "A 25963-2024")</f>
        <v/>
      </c>
      <c r="W128">
        <f>HYPERLINK("https://klasma.github.io/Logging_0604/klagomålsmail/A 25963-2024 FSC-klagomål mail.docx", "A 25963-2024")</f>
        <v/>
      </c>
      <c r="X128">
        <f>HYPERLINK("https://klasma.github.io/Logging_0604/tillsyn/A 25963-2024 tillsynsbegäran.docx", "A 25963-2024")</f>
        <v/>
      </c>
      <c r="Y128">
        <f>HYPERLINK("https://klasma.github.io/Logging_0604/tillsynsmail/A 25963-2024 tillsynsbegäran mail.docx", "A 25963-2024")</f>
        <v/>
      </c>
    </row>
    <row r="129" ht="15" customHeight="1">
      <c r="A129" t="inlineStr">
        <is>
          <t>A 21812-2023</t>
        </is>
      </c>
      <c r="B129" s="1" t="n">
        <v>45068</v>
      </c>
      <c r="C129" s="1" t="n">
        <v>45894</v>
      </c>
      <c r="D129" t="inlineStr">
        <is>
          <t>JÖNKÖPINGS LÄN</t>
        </is>
      </c>
      <c r="E129" t="inlineStr">
        <is>
          <t>ANEBY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16308-2023</t>
        </is>
      </c>
      <c r="B130" s="1" t="n">
        <v>45028</v>
      </c>
      <c r="C130" s="1" t="n">
        <v>45894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13163-2024</t>
        </is>
      </c>
      <c r="B131" s="1" t="n">
        <v>45386.39376157407</v>
      </c>
      <c r="C131" s="1" t="n">
        <v>45894</v>
      </c>
      <c r="D131" t="inlineStr">
        <is>
          <t>JÖNKÖPINGS LÄN</t>
        </is>
      </c>
      <c r="E131" t="inlineStr">
        <is>
          <t>ANEBY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50069-2024</t>
        </is>
      </c>
      <c r="B132" s="1" t="n">
        <v>45600.35842592592</v>
      </c>
      <c r="C132" s="1" t="n">
        <v>45894</v>
      </c>
      <c r="D132" t="inlineStr">
        <is>
          <t>JÖNKÖPINGS LÄN</t>
        </is>
      </c>
      <c r="E132" t="inlineStr">
        <is>
          <t>ANEBY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38873-2023</t>
        </is>
      </c>
      <c r="B133" s="1" t="n">
        <v>45161</v>
      </c>
      <c r="C133" s="1" t="n">
        <v>45894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395-2022</t>
        </is>
      </c>
      <c r="B134" s="1" t="n">
        <v>44565.70857638889</v>
      </c>
      <c r="C134" s="1" t="n">
        <v>45894</v>
      </c>
      <c r="D134" t="inlineStr">
        <is>
          <t>JÖNKÖPINGS LÄN</t>
        </is>
      </c>
      <c r="E134" t="inlineStr">
        <is>
          <t>ANEBY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16957-2023</t>
        </is>
      </c>
      <c r="B135" s="1" t="n">
        <v>45033</v>
      </c>
      <c r="C135" s="1" t="n">
        <v>45894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46784-2023</t>
        </is>
      </c>
      <c r="B136" s="1" t="n">
        <v>45198</v>
      </c>
      <c r="C136" s="1" t="n">
        <v>45894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65037-2023</t>
        </is>
      </c>
      <c r="B137" s="1" t="n">
        <v>45282</v>
      </c>
      <c r="C137" s="1" t="n">
        <v>45894</v>
      </c>
      <c r="D137" t="inlineStr">
        <is>
          <t>JÖNKÖPINGS LÄN</t>
        </is>
      </c>
      <c r="E137" t="inlineStr">
        <is>
          <t>ANEBY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12655-2024</t>
        </is>
      </c>
      <c r="B138" s="1" t="n">
        <v>45384.36355324074</v>
      </c>
      <c r="C138" s="1" t="n">
        <v>45894</v>
      </c>
      <c r="D138" t="inlineStr">
        <is>
          <t>JÖNKÖPINGS LÄN</t>
        </is>
      </c>
      <c r="E138" t="inlineStr">
        <is>
          <t>ANEBY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23715-2023</t>
        </is>
      </c>
      <c r="B139" s="1" t="n">
        <v>45077.65487268518</v>
      </c>
      <c r="C139" s="1" t="n">
        <v>45894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23716-2023</t>
        </is>
      </c>
      <c r="B140" s="1" t="n">
        <v>45077.65918981482</v>
      </c>
      <c r="C140" s="1" t="n">
        <v>45894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7969-2025</t>
        </is>
      </c>
      <c r="B141" s="1" t="n">
        <v>45707.45528935185</v>
      </c>
      <c r="C141" s="1" t="n">
        <v>45894</v>
      </c>
      <c r="D141" t="inlineStr">
        <is>
          <t>JÖNKÖPINGS LÄN</t>
        </is>
      </c>
      <c r="E141" t="inlineStr">
        <is>
          <t>ANEBY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49427-2023</t>
        </is>
      </c>
      <c r="B142" s="1" t="n">
        <v>45205</v>
      </c>
      <c r="C142" s="1" t="n">
        <v>45894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47125-2022</t>
        </is>
      </c>
      <c r="B143" s="1" t="n">
        <v>44852.52524305556</v>
      </c>
      <c r="C143" s="1" t="n">
        <v>45894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759-2025</t>
        </is>
      </c>
      <c r="B144" s="1" t="n">
        <v>45665.44925925926</v>
      </c>
      <c r="C144" s="1" t="n">
        <v>45894</v>
      </c>
      <c r="D144" t="inlineStr">
        <is>
          <t>JÖNKÖPINGS LÄN</t>
        </is>
      </c>
      <c r="E144" t="inlineStr">
        <is>
          <t>ANEBY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37690-2023</t>
        </is>
      </c>
      <c r="B145" s="1" t="n">
        <v>45159.56918981481</v>
      </c>
      <c r="C145" s="1" t="n">
        <v>45894</v>
      </c>
      <c r="D145" t="inlineStr">
        <is>
          <t>JÖNKÖPINGS LÄN</t>
        </is>
      </c>
      <c r="E145" t="inlineStr">
        <is>
          <t>ANEBY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20568-2025</t>
        </is>
      </c>
      <c r="B146" s="1" t="n">
        <v>45775.66415509259</v>
      </c>
      <c r="C146" s="1" t="n">
        <v>45894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52790-2024</t>
        </is>
      </c>
      <c r="B147" s="1" t="n">
        <v>45610</v>
      </c>
      <c r="C147" s="1" t="n">
        <v>45894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9873-2024</t>
        </is>
      </c>
      <c r="B148" s="1" t="n">
        <v>45363.44353009259</v>
      </c>
      <c r="C148" s="1" t="n">
        <v>45894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18438-2025</t>
        </is>
      </c>
      <c r="B149" s="1" t="n">
        <v>45762</v>
      </c>
      <c r="C149" s="1" t="n">
        <v>45894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12834-2023</t>
        </is>
      </c>
      <c r="B150" s="1" t="n">
        <v>45001.48028935185</v>
      </c>
      <c r="C150" s="1" t="n">
        <v>45894</v>
      </c>
      <c r="D150" t="inlineStr">
        <is>
          <t>JÖNKÖPINGS LÄN</t>
        </is>
      </c>
      <c r="E150" t="inlineStr">
        <is>
          <t>ANEBY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703-2024</t>
        </is>
      </c>
      <c r="B151" s="1" t="n">
        <v>45300</v>
      </c>
      <c r="C151" s="1" t="n">
        <v>45894</v>
      </c>
      <c r="D151" t="inlineStr">
        <is>
          <t>JÖNKÖPINGS LÄN</t>
        </is>
      </c>
      <c r="E151" t="inlineStr">
        <is>
          <t>ANEBY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21333-2025</t>
        </is>
      </c>
      <c r="B152" s="1" t="n">
        <v>45782.36523148148</v>
      </c>
      <c r="C152" s="1" t="n">
        <v>45894</v>
      </c>
      <c r="D152" t="inlineStr">
        <is>
          <t>JÖNKÖPINGS LÄN</t>
        </is>
      </c>
      <c r="E152" t="inlineStr">
        <is>
          <t>ANEBY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11565-2025</t>
        </is>
      </c>
      <c r="B153" s="1" t="n">
        <v>45727</v>
      </c>
      <c r="C153" s="1" t="n">
        <v>45894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23557-2022</t>
        </is>
      </c>
      <c r="B154" s="1" t="n">
        <v>44721</v>
      </c>
      <c r="C154" s="1" t="n">
        <v>45894</v>
      </c>
      <c r="D154" t="inlineStr">
        <is>
          <t>JÖNKÖPINGS LÄN</t>
        </is>
      </c>
      <c r="E154" t="inlineStr">
        <is>
          <t>ANEBY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54213-2024</t>
        </is>
      </c>
      <c r="B155" s="1" t="n">
        <v>45616</v>
      </c>
      <c r="C155" s="1" t="n">
        <v>45894</v>
      </c>
      <c r="D155" t="inlineStr">
        <is>
          <t>JÖNKÖPINGS LÄN</t>
        </is>
      </c>
      <c r="E155" t="inlineStr">
        <is>
          <t>ANEBY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61946-2024</t>
        </is>
      </c>
      <c r="B156" s="1" t="n">
        <v>45653.49950231481</v>
      </c>
      <c r="C156" s="1" t="n">
        <v>45894</v>
      </c>
      <c r="D156" t="inlineStr">
        <is>
          <t>JÖNKÖPINGS LÄN</t>
        </is>
      </c>
      <c r="E156" t="inlineStr">
        <is>
          <t>ANEBY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6305-2025</t>
        </is>
      </c>
      <c r="B157" s="1" t="n">
        <v>45698.68236111111</v>
      </c>
      <c r="C157" s="1" t="n">
        <v>45894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24901-2024</t>
        </is>
      </c>
      <c r="B158" s="1" t="n">
        <v>45461</v>
      </c>
      <c r="C158" s="1" t="n">
        <v>45894</v>
      </c>
      <c r="D158" t="inlineStr">
        <is>
          <t>JÖNKÖPINGS LÄN</t>
        </is>
      </c>
      <c r="E158" t="inlineStr">
        <is>
          <t>ANEBY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46941-2020</t>
        </is>
      </c>
      <c r="B159" s="1" t="n">
        <v>44096</v>
      </c>
      <c r="C159" s="1" t="n">
        <v>45894</v>
      </c>
      <c r="D159" t="inlineStr">
        <is>
          <t>JÖNKÖPINGS LÄN</t>
        </is>
      </c>
      <c r="E159" t="inlineStr">
        <is>
          <t>ANEBY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4988-2025</t>
        </is>
      </c>
      <c r="B160" s="1" t="n">
        <v>45691.32311342593</v>
      </c>
      <c r="C160" s="1" t="n">
        <v>45894</v>
      </c>
      <c r="D160" t="inlineStr">
        <is>
          <t>JÖNKÖPINGS LÄN</t>
        </is>
      </c>
      <c r="E160" t="inlineStr">
        <is>
          <t>ANEBY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34780-2023</t>
        </is>
      </c>
      <c r="B161" s="1" t="n">
        <v>45141.54603009259</v>
      </c>
      <c r="C161" s="1" t="n">
        <v>45894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58354-2023</t>
        </is>
      </c>
      <c r="B162" s="1" t="n">
        <v>45250.63565972223</v>
      </c>
      <c r="C162" s="1" t="n">
        <v>45894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20219-2025</t>
        </is>
      </c>
      <c r="B163" s="1" t="n">
        <v>45772.64790509259</v>
      </c>
      <c r="C163" s="1" t="n">
        <v>45894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54692-2023</t>
        </is>
      </c>
      <c r="B164" s="1" t="n">
        <v>45236</v>
      </c>
      <c r="C164" s="1" t="n">
        <v>45894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48999-2024</t>
        </is>
      </c>
      <c r="B165" s="1" t="n">
        <v>45594.49311342592</v>
      </c>
      <c r="C165" s="1" t="n">
        <v>45894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3189-2024</t>
        </is>
      </c>
      <c r="B166" s="1" t="n">
        <v>45316.66528935185</v>
      </c>
      <c r="C166" s="1" t="n">
        <v>45894</v>
      </c>
      <c r="D166" t="inlineStr">
        <is>
          <t>JÖNKÖPINGS LÄN</t>
        </is>
      </c>
      <c r="E166" t="inlineStr">
        <is>
          <t>ANEBY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45894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47118-2023</t>
        </is>
      </c>
      <c r="B168" s="1" t="n">
        <v>45201.67722222222</v>
      </c>
      <c r="C168" s="1" t="n">
        <v>45894</v>
      </c>
      <c r="D168" t="inlineStr">
        <is>
          <t>JÖNKÖPINGS LÄN</t>
        </is>
      </c>
      <c r="E168" t="inlineStr">
        <is>
          <t>ANEBY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43613-2023</t>
        </is>
      </c>
      <c r="B169" s="1" t="n">
        <v>45184</v>
      </c>
      <c r="C169" s="1" t="n">
        <v>45894</v>
      </c>
      <c r="D169" t="inlineStr">
        <is>
          <t>JÖNKÖPINGS LÄN</t>
        </is>
      </c>
      <c r="E169" t="inlineStr">
        <is>
          <t>ANEBY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14901-2024</t>
        </is>
      </c>
      <c r="B170" s="1" t="n">
        <v>45398.58857638889</v>
      </c>
      <c r="C170" s="1" t="n">
        <v>45894</v>
      </c>
      <c r="D170" t="inlineStr">
        <is>
          <t>JÖNKÖPINGS LÄN</t>
        </is>
      </c>
      <c r="E170" t="inlineStr">
        <is>
          <t>ANEBY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12477-2023</t>
        </is>
      </c>
      <c r="B171" s="1" t="n">
        <v>44999</v>
      </c>
      <c r="C171" s="1" t="n">
        <v>45894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24783-2023</t>
        </is>
      </c>
      <c r="B172" s="1" t="n">
        <v>45084.66478009259</v>
      </c>
      <c r="C172" s="1" t="n">
        <v>45894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67848-2020</t>
        </is>
      </c>
      <c r="B173" s="1" t="n">
        <v>44182</v>
      </c>
      <c r="C173" s="1" t="n">
        <v>45894</v>
      </c>
      <c r="D173" t="inlineStr">
        <is>
          <t>JÖNKÖPINGS LÄN</t>
        </is>
      </c>
      <c r="E173" t="inlineStr">
        <is>
          <t>ANEBY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53251-2023</t>
        </is>
      </c>
      <c r="B174" s="1" t="n">
        <v>45229</v>
      </c>
      <c r="C174" s="1" t="n">
        <v>45894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8457-2025</t>
        </is>
      </c>
      <c r="B175" s="1" t="n">
        <v>45709.46327546296</v>
      </c>
      <c r="C175" s="1" t="n">
        <v>45894</v>
      </c>
      <c r="D175" t="inlineStr">
        <is>
          <t>JÖNKÖPINGS LÄN</t>
        </is>
      </c>
      <c r="E175" t="inlineStr">
        <is>
          <t>ANEBY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701-2024</t>
        </is>
      </c>
      <c r="B176" s="1" t="n">
        <v>45300</v>
      </c>
      <c r="C176" s="1" t="n">
        <v>45894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764-2025</t>
        </is>
      </c>
      <c r="B177" s="1" t="n">
        <v>45665.45333333333</v>
      </c>
      <c r="C177" s="1" t="n">
        <v>45894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17380-2022</t>
        </is>
      </c>
      <c r="B178" s="1" t="n">
        <v>44678.64928240741</v>
      </c>
      <c r="C178" s="1" t="n">
        <v>45894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43291-2023</t>
        </is>
      </c>
      <c r="B179" s="1" t="n">
        <v>45183</v>
      </c>
      <c r="C179" s="1" t="n">
        <v>45894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41144-2021</t>
        </is>
      </c>
      <c r="B180" s="1" t="n">
        <v>44423</v>
      </c>
      <c r="C180" s="1" t="n">
        <v>45894</v>
      </c>
      <c r="D180" t="inlineStr">
        <is>
          <t>JÖNKÖPINGS LÄN</t>
        </is>
      </c>
      <c r="E180" t="inlineStr">
        <is>
          <t>ANEBY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1474-2024</t>
        </is>
      </c>
      <c r="B181" s="1" t="n">
        <v>45304.77090277777</v>
      </c>
      <c r="C181" s="1" t="n">
        <v>45894</v>
      </c>
      <c r="D181" t="inlineStr">
        <is>
          <t>JÖNKÖPINGS LÄN</t>
        </is>
      </c>
      <c r="E181" t="inlineStr">
        <is>
          <t>ANEBY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35597-2023</t>
        </is>
      </c>
      <c r="B182" s="1" t="n">
        <v>45147.49393518519</v>
      </c>
      <c r="C182" s="1" t="n">
        <v>45894</v>
      </c>
      <c r="D182" t="inlineStr">
        <is>
          <t>JÖNKÖPINGS LÄN</t>
        </is>
      </c>
      <c r="E182" t="inlineStr">
        <is>
          <t>ANEBY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4836-2023</t>
        </is>
      </c>
      <c r="B183" s="1" t="n">
        <v>44957</v>
      </c>
      <c r="C183" s="1" t="n">
        <v>45894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63624-2023</t>
        </is>
      </c>
      <c r="B184" s="1" t="n">
        <v>45275</v>
      </c>
      <c r="C184" s="1" t="n">
        <v>45894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23966-2025</t>
        </is>
      </c>
      <c r="B185" s="1" t="n">
        <v>45796.3731712963</v>
      </c>
      <c r="C185" s="1" t="n">
        <v>45894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61948-2024</t>
        </is>
      </c>
      <c r="B186" s="1" t="n">
        <v>45653.50658564815</v>
      </c>
      <c r="C186" s="1" t="n">
        <v>45894</v>
      </c>
      <c r="D186" t="inlineStr">
        <is>
          <t>JÖNKÖPINGS LÄN</t>
        </is>
      </c>
      <c r="E186" t="inlineStr">
        <is>
          <t>ANEBY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27714-2024</t>
        </is>
      </c>
      <c r="B187" s="1" t="n">
        <v>45475</v>
      </c>
      <c r="C187" s="1" t="n">
        <v>45894</v>
      </c>
      <c r="D187" t="inlineStr">
        <is>
          <t>JÖNKÖPINGS LÄN</t>
        </is>
      </c>
      <c r="E187" t="inlineStr">
        <is>
          <t>ANEBY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37751-2024</t>
        </is>
      </c>
      <c r="B188" s="1" t="n">
        <v>45541</v>
      </c>
      <c r="C188" s="1" t="n">
        <v>45894</v>
      </c>
      <c r="D188" t="inlineStr">
        <is>
          <t>JÖNKÖPINGS LÄN</t>
        </is>
      </c>
      <c r="E188" t="inlineStr">
        <is>
          <t>ANEBY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35417-2023</t>
        </is>
      </c>
      <c r="B189" s="1" t="n">
        <v>45146.61756944445</v>
      </c>
      <c r="C189" s="1" t="n">
        <v>45894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42797-2020</t>
        </is>
      </c>
      <c r="B190" s="1" t="n">
        <v>44078</v>
      </c>
      <c r="C190" s="1" t="n">
        <v>45894</v>
      </c>
      <c r="D190" t="inlineStr">
        <is>
          <t>JÖNKÖPINGS LÄN</t>
        </is>
      </c>
      <c r="E190" t="inlineStr">
        <is>
          <t>ANEBY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40017-2024</t>
        </is>
      </c>
      <c r="B191" s="1" t="n">
        <v>45553.66359953704</v>
      </c>
      <c r="C191" s="1" t="n">
        <v>45894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47325-2024</t>
        </is>
      </c>
      <c r="B192" s="1" t="n">
        <v>45586</v>
      </c>
      <c r="C192" s="1" t="n">
        <v>45894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47330-2024</t>
        </is>
      </c>
      <c r="B193" s="1" t="n">
        <v>45586</v>
      </c>
      <c r="C193" s="1" t="n">
        <v>45894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49133-2022</t>
        </is>
      </c>
      <c r="B194" s="1" t="n">
        <v>44860</v>
      </c>
      <c r="C194" s="1" t="n">
        <v>45894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6930-2024</t>
        </is>
      </c>
      <c r="B195" s="1" t="n">
        <v>45343</v>
      </c>
      <c r="C195" s="1" t="n">
        <v>45894</v>
      </c>
      <c r="D195" t="inlineStr">
        <is>
          <t>JÖNKÖPINGS LÄN</t>
        </is>
      </c>
      <c r="E195" t="inlineStr">
        <is>
          <t>ANEBY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24709-2025</t>
        </is>
      </c>
      <c r="B196" s="1" t="n">
        <v>45798.84574074074</v>
      </c>
      <c r="C196" s="1" t="n">
        <v>45894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57174-2021</t>
        </is>
      </c>
      <c r="B197" s="1" t="n">
        <v>44482.87444444445</v>
      </c>
      <c r="C197" s="1" t="n">
        <v>45894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15481-2023</t>
        </is>
      </c>
      <c r="B198" s="1" t="n">
        <v>45020</v>
      </c>
      <c r="C198" s="1" t="n">
        <v>45894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1473-2024</t>
        </is>
      </c>
      <c r="B199" s="1" t="n">
        <v>45304.76762731482</v>
      </c>
      <c r="C199" s="1" t="n">
        <v>45894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24708-2025</t>
        </is>
      </c>
      <c r="B200" s="1" t="n">
        <v>45798.84240740741</v>
      </c>
      <c r="C200" s="1" t="n">
        <v>45894</v>
      </c>
      <c r="D200" t="inlineStr">
        <is>
          <t>JÖNKÖPINGS LÄN</t>
        </is>
      </c>
      <c r="E200" t="inlineStr">
        <is>
          <t>ANEBY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35555-2024</t>
        </is>
      </c>
      <c r="B201" s="1" t="n">
        <v>45531.61946759259</v>
      </c>
      <c r="C201" s="1" t="n">
        <v>45894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2199-2022</t>
        </is>
      </c>
      <c r="B202" s="1" t="n">
        <v>44578.50461805556</v>
      </c>
      <c r="C202" s="1" t="n">
        <v>45894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9193-2024</t>
        </is>
      </c>
      <c r="B203" s="1" t="n">
        <v>45358.45503472222</v>
      </c>
      <c r="C203" s="1" t="n">
        <v>45894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5222-2024</t>
        </is>
      </c>
      <c r="B204" s="1" t="n">
        <v>45330</v>
      </c>
      <c r="C204" s="1" t="n">
        <v>45894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26236-2024</t>
        </is>
      </c>
      <c r="B205" s="1" t="n">
        <v>45468.62662037037</v>
      </c>
      <c r="C205" s="1" t="n">
        <v>45894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47293-2023</t>
        </is>
      </c>
      <c r="B206" s="1" t="n">
        <v>45202.47221064815</v>
      </c>
      <c r="C206" s="1" t="n">
        <v>45894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47296-2023</t>
        </is>
      </c>
      <c r="B207" s="1" t="n">
        <v>45202</v>
      </c>
      <c r="C207" s="1" t="n">
        <v>45894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47309-2023</t>
        </is>
      </c>
      <c r="B208" s="1" t="n">
        <v>45202</v>
      </c>
      <c r="C208" s="1" t="n">
        <v>45894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48524-2024</t>
        </is>
      </c>
      <c r="B209" s="1" t="n">
        <v>45593</v>
      </c>
      <c r="C209" s="1" t="n">
        <v>45894</v>
      </c>
      <c r="D209" t="inlineStr">
        <is>
          <t>JÖNKÖPINGS LÄN</t>
        </is>
      </c>
      <c r="E209" t="inlineStr">
        <is>
          <t>ANEBY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41960-2020</t>
        </is>
      </c>
      <c r="B210" s="1" t="n">
        <v>44075</v>
      </c>
      <c r="C210" s="1" t="n">
        <v>45894</v>
      </c>
      <c r="D210" t="inlineStr">
        <is>
          <t>JÖNKÖPINGS LÄN</t>
        </is>
      </c>
      <c r="E210" t="inlineStr">
        <is>
          <t>ANEBY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56333-2022</t>
        </is>
      </c>
      <c r="B211" s="1" t="n">
        <v>44890</v>
      </c>
      <c r="C211" s="1" t="n">
        <v>45894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56339-2022</t>
        </is>
      </c>
      <c r="B212" s="1" t="n">
        <v>44890</v>
      </c>
      <c r="C212" s="1" t="n">
        <v>45894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25875-2024</t>
        </is>
      </c>
      <c r="B213" s="1" t="n">
        <v>45467.47898148148</v>
      </c>
      <c r="C213" s="1" t="n">
        <v>45894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40897-2024</t>
        </is>
      </c>
      <c r="B214" s="1" t="n">
        <v>45558.61712962963</v>
      </c>
      <c r="C214" s="1" t="n">
        <v>45894</v>
      </c>
      <c r="D214" t="inlineStr">
        <is>
          <t>JÖNKÖPINGS LÄN</t>
        </is>
      </c>
      <c r="E214" t="inlineStr">
        <is>
          <t>ANEBY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9068-2024</t>
        </is>
      </c>
      <c r="B215" s="1" t="n">
        <v>45357</v>
      </c>
      <c r="C215" s="1" t="n">
        <v>45894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10155-2024</t>
        </is>
      </c>
      <c r="B216" s="1" t="n">
        <v>45364.65658564815</v>
      </c>
      <c r="C216" s="1" t="n">
        <v>45894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14338-2024</t>
        </is>
      </c>
      <c r="B217" s="1" t="n">
        <v>45393.72498842593</v>
      </c>
      <c r="C217" s="1" t="n">
        <v>45894</v>
      </c>
      <c r="D217" t="inlineStr">
        <is>
          <t>JÖNKÖPINGS LÄN</t>
        </is>
      </c>
      <c r="E217" t="inlineStr">
        <is>
          <t>ANEBY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49398-2022</t>
        </is>
      </c>
      <c r="B218" s="1" t="n">
        <v>44859</v>
      </c>
      <c r="C218" s="1" t="n">
        <v>45894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18552-2025</t>
        </is>
      </c>
      <c r="B219" s="1" t="n">
        <v>45763</v>
      </c>
      <c r="C219" s="1" t="n">
        <v>45894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47409-2022</t>
        </is>
      </c>
      <c r="B220" s="1" t="n">
        <v>44851</v>
      </c>
      <c r="C220" s="1" t="n">
        <v>45894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12936-2021</t>
        </is>
      </c>
      <c r="B221" s="1" t="n">
        <v>44271</v>
      </c>
      <c r="C221" s="1" t="n">
        <v>45894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25103-2023</t>
        </is>
      </c>
      <c r="B222" s="1" t="n">
        <v>45086</v>
      </c>
      <c r="C222" s="1" t="n">
        <v>45894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54403-2024</t>
        </is>
      </c>
      <c r="B223" s="1" t="n">
        <v>45617.47054398148</v>
      </c>
      <c r="C223" s="1" t="n">
        <v>45894</v>
      </c>
      <c r="D223" t="inlineStr">
        <is>
          <t>JÖNKÖPINGS LÄN</t>
        </is>
      </c>
      <c r="E223" t="inlineStr">
        <is>
          <t>ANEBY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27205-2025</t>
        </is>
      </c>
      <c r="B224" s="1" t="n">
        <v>45812.40204861111</v>
      </c>
      <c r="C224" s="1" t="n">
        <v>45894</v>
      </c>
      <c r="D224" t="inlineStr">
        <is>
          <t>JÖNKÖPINGS LÄN</t>
        </is>
      </c>
      <c r="E224" t="inlineStr">
        <is>
          <t>ANEBY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27204-2025</t>
        </is>
      </c>
      <c r="B225" s="1" t="n">
        <v>45812.39982638889</v>
      </c>
      <c r="C225" s="1" t="n">
        <v>45894</v>
      </c>
      <c r="D225" t="inlineStr">
        <is>
          <t>JÖNKÖPINGS LÄN</t>
        </is>
      </c>
      <c r="E225" t="inlineStr">
        <is>
          <t>ANEBY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11353-2024</t>
        </is>
      </c>
      <c r="B226" s="1" t="n">
        <v>45372.34880787037</v>
      </c>
      <c r="C226" s="1" t="n">
        <v>45894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9917-2022</t>
        </is>
      </c>
      <c r="B227" s="1" t="n">
        <v>44620.7546412037</v>
      </c>
      <c r="C227" s="1" t="n">
        <v>45894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28938-2021</t>
        </is>
      </c>
      <c r="B228" s="1" t="n">
        <v>44357</v>
      </c>
      <c r="C228" s="1" t="n">
        <v>45894</v>
      </c>
      <c r="D228" t="inlineStr">
        <is>
          <t>JÖNKÖPINGS LÄN</t>
        </is>
      </c>
      <c r="E228" t="inlineStr">
        <is>
          <t>ANEBY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32891-2023</t>
        </is>
      </c>
      <c r="B229" s="1" t="n">
        <v>45124</v>
      </c>
      <c r="C229" s="1" t="n">
        <v>45894</v>
      </c>
      <c r="D229" t="inlineStr">
        <is>
          <t>JÖNKÖPINGS LÄN</t>
        </is>
      </c>
      <c r="E229" t="inlineStr">
        <is>
          <t>ANEBY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22232-2021</t>
        </is>
      </c>
      <c r="B230" s="1" t="n">
        <v>44326.38244212963</v>
      </c>
      <c r="C230" s="1" t="n">
        <v>45894</v>
      </c>
      <c r="D230" t="inlineStr">
        <is>
          <t>JÖNKÖPINGS LÄN</t>
        </is>
      </c>
      <c r="E230" t="inlineStr">
        <is>
          <t>ANEBY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10456-2023</t>
        </is>
      </c>
      <c r="B231" s="1" t="n">
        <v>44981</v>
      </c>
      <c r="C231" s="1" t="n">
        <v>45894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12533-2024</t>
        </is>
      </c>
      <c r="B232" s="1" t="n">
        <v>45379.6220949074</v>
      </c>
      <c r="C232" s="1" t="n">
        <v>45894</v>
      </c>
      <c r="D232" t="inlineStr">
        <is>
          <t>JÖNKÖPINGS LÄN</t>
        </is>
      </c>
      <c r="E232" t="inlineStr">
        <is>
          <t>ANEBY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57170-2021</t>
        </is>
      </c>
      <c r="B233" s="1" t="n">
        <v>44482.86331018519</v>
      </c>
      <c r="C233" s="1" t="n">
        <v>45894</v>
      </c>
      <c r="D233" t="inlineStr">
        <is>
          <t>JÖNKÖPINGS LÄN</t>
        </is>
      </c>
      <c r="E233" t="inlineStr">
        <is>
          <t>ANEBY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35654-2025</t>
        </is>
      </c>
      <c r="B234" s="1" t="n">
        <v>45859.54253472222</v>
      </c>
      <c r="C234" s="1" t="n">
        <v>45894</v>
      </c>
      <c r="D234" t="inlineStr">
        <is>
          <t>JÖNKÖPINGS LÄN</t>
        </is>
      </c>
      <c r="E234" t="inlineStr">
        <is>
          <t>ANEBY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35737-2025</t>
        </is>
      </c>
      <c r="B235" s="1" t="n">
        <v>45860.50186342592</v>
      </c>
      <c r="C235" s="1" t="n">
        <v>45894</v>
      </c>
      <c r="D235" t="inlineStr">
        <is>
          <t>JÖNKÖPINGS LÄN</t>
        </is>
      </c>
      <c r="E235" t="inlineStr">
        <is>
          <t>ANEBY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5126-2021</t>
        </is>
      </c>
      <c r="B236" s="1" t="n">
        <v>44228</v>
      </c>
      <c r="C236" s="1" t="n">
        <v>45894</v>
      </c>
      <c r="D236" t="inlineStr">
        <is>
          <t>JÖNKÖPINGS LÄN</t>
        </is>
      </c>
      <c r="E236" t="inlineStr">
        <is>
          <t>ANEBY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28543-2025</t>
        </is>
      </c>
      <c r="B237" s="1" t="n">
        <v>45819.52043981481</v>
      </c>
      <c r="C237" s="1" t="n">
        <v>45894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35773-2023</t>
        </is>
      </c>
      <c r="B238" s="1" t="n">
        <v>45148</v>
      </c>
      <c r="C238" s="1" t="n">
        <v>45894</v>
      </c>
      <c r="D238" t="inlineStr">
        <is>
          <t>JÖNKÖPINGS LÄN</t>
        </is>
      </c>
      <c r="E238" t="inlineStr">
        <is>
          <t>ANEBY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56735-2021</t>
        </is>
      </c>
      <c r="B239" s="1" t="n">
        <v>44481</v>
      </c>
      <c r="C239" s="1" t="n">
        <v>45894</v>
      </c>
      <c r="D239" t="inlineStr">
        <is>
          <t>JÖNKÖPINGS LÄN</t>
        </is>
      </c>
      <c r="E239" t="inlineStr">
        <is>
          <t>ANEBY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33051-2023</t>
        </is>
      </c>
      <c r="B240" s="1" t="n">
        <v>45126</v>
      </c>
      <c r="C240" s="1" t="n">
        <v>45894</v>
      </c>
      <c r="D240" t="inlineStr">
        <is>
          <t>JÖNKÖPINGS LÄN</t>
        </is>
      </c>
      <c r="E240" t="inlineStr">
        <is>
          <t>ANEBY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28540-2025</t>
        </is>
      </c>
      <c r="B241" s="1" t="n">
        <v>45819.51636574074</v>
      </c>
      <c r="C241" s="1" t="n">
        <v>45894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28541-2025</t>
        </is>
      </c>
      <c r="B242" s="1" t="n">
        <v>45819.51873842593</v>
      </c>
      <c r="C242" s="1" t="n">
        <v>45894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9541-2024</t>
        </is>
      </c>
      <c r="B243" s="1" t="n">
        <v>45359</v>
      </c>
      <c r="C243" s="1" t="n">
        <v>45894</v>
      </c>
      <c r="D243" t="inlineStr">
        <is>
          <t>JÖNKÖPINGS LÄN</t>
        </is>
      </c>
      <c r="E243" t="inlineStr">
        <is>
          <t>ANEBY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35740-2025</t>
        </is>
      </c>
      <c r="B244" s="1" t="n">
        <v>45860.53292824074</v>
      </c>
      <c r="C244" s="1" t="n">
        <v>45894</v>
      </c>
      <c r="D244" t="inlineStr">
        <is>
          <t>JÖNKÖPINGS LÄN</t>
        </is>
      </c>
      <c r="E244" t="inlineStr">
        <is>
          <t>ANEBY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51185-2021</t>
        </is>
      </c>
      <c r="B245" s="1" t="n">
        <v>44461.47802083333</v>
      </c>
      <c r="C245" s="1" t="n">
        <v>45894</v>
      </c>
      <c r="D245" t="inlineStr">
        <is>
          <t>JÖNKÖPINGS LÄN</t>
        </is>
      </c>
      <c r="E245" t="inlineStr">
        <is>
          <t>ANEBY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29133-2021</t>
        </is>
      </c>
      <c r="B246" s="1" t="n">
        <v>44358</v>
      </c>
      <c r="C246" s="1" t="n">
        <v>45894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21355-2022</t>
        </is>
      </c>
      <c r="B247" s="1" t="n">
        <v>44705</v>
      </c>
      <c r="C247" s="1" t="n">
        <v>45894</v>
      </c>
      <c r="D247" t="inlineStr">
        <is>
          <t>JÖNKÖPINGS LÄN</t>
        </is>
      </c>
      <c r="E247" t="inlineStr">
        <is>
          <t>ANEBY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49478-2023</t>
        </is>
      </c>
      <c r="B248" s="1" t="n">
        <v>45205</v>
      </c>
      <c r="C248" s="1" t="n">
        <v>45894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16095-2025</t>
        </is>
      </c>
      <c r="B249" s="1" t="n">
        <v>45749.91583333333</v>
      </c>
      <c r="C249" s="1" t="n">
        <v>45894</v>
      </c>
      <c r="D249" t="inlineStr">
        <is>
          <t>JÖNKÖPINGS LÄN</t>
        </is>
      </c>
      <c r="E249" t="inlineStr">
        <is>
          <t>ANEBY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29391-2025</t>
        </is>
      </c>
      <c r="B250" s="1" t="n">
        <v>45824.60515046296</v>
      </c>
      <c r="C250" s="1" t="n">
        <v>45894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16506-2022</t>
        </is>
      </c>
      <c r="B251" s="1" t="n">
        <v>44671</v>
      </c>
      <c r="C251" s="1" t="n">
        <v>45894</v>
      </c>
      <c r="D251" t="inlineStr">
        <is>
          <t>JÖNKÖPINGS LÄN</t>
        </is>
      </c>
      <c r="E251" t="inlineStr">
        <is>
          <t>ANEBY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29469-2025</t>
        </is>
      </c>
      <c r="B252" s="1" t="n">
        <v>45824</v>
      </c>
      <c r="C252" s="1" t="n">
        <v>45894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37155-2024</t>
        </is>
      </c>
      <c r="B253" s="1" t="n">
        <v>45539.60888888889</v>
      </c>
      <c r="C253" s="1" t="n">
        <v>45894</v>
      </c>
      <c r="D253" t="inlineStr">
        <is>
          <t>JÖNKÖPINGS LÄN</t>
        </is>
      </c>
      <c r="E253" t="inlineStr">
        <is>
          <t>ANEBY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47246-2020</t>
        </is>
      </c>
      <c r="B254" s="1" t="n">
        <v>44097</v>
      </c>
      <c r="C254" s="1" t="n">
        <v>45894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8846-2024</t>
        </is>
      </c>
      <c r="B255" s="1" t="n">
        <v>45356</v>
      </c>
      <c r="C255" s="1" t="n">
        <v>45894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30435-2025</t>
        </is>
      </c>
      <c r="B256" s="1" t="n">
        <v>45827.63807870371</v>
      </c>
      <c r="C256" s="1" t="n">
        <v>45894</v>
      </c>
      <c r="D256" t="inlineStr">
        <is>
          <t>JÖNKÖPINGS LÄN</t>
        </is>
      </c>
      <c r="E256" t="inlineStr">
        <is>
          <t>ANEBY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10355-2024</t>
        </is>
      </c>
      <c r="B257" s="1" t="n">
        <v>45365.60123842592</v>
      </c>
      <c r="C257" s="1" t="n">
        <v>45894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10357-2024</t>
        </is>
      </c>
      <c r="B258" s="1" t="n">
        <v>45365.60304398148</v>
      </c>
      <c r="C258" s="1" t="n">
        <v>45894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31087-2025</t>
        </is>
      </c>
      <c r="B259" s="1" t="n">
        <v>45831</v>
      </c>
      <c r="C259" s="1" t="n">
        <v>45894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7954-2025</t>
        </is>
      </c>
      <c r="B260" s="1" t="n">
        <v>45707.42396990741</v>
      </c>
      <c r="C260" s="1" t="n">
        <v>45894</v>
      </c>
      <c r="D260" t="inlineStr">
        <is>
          <t>JÖNKÖPINGS LÄN</t>
        </is>
      </c>
      <c r="E260" t="inlineStr">
        <is>
          <t>ANEBY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4986-2025</t>
        </is>
      </c>
      <c r="B261" s="1" t="n">
        <v>45691.31946759259</v>
      </c>
      <c r="C261" s="1" t="n">
        <v>45894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30028-2023</t>
        </is>
      </c>
      <c r="B262" s="1" t="n">
        <v>45110.32493055556</v>
      </c>
      <c r="C262" s="1" t="n">
        <v>45894</v>
      </c>
      <c r="D262" t="inlineStr">
        <is>
          <t>JÖNKÖPINGS LÄN</t>
        </is>
      </c>
      <c r="E262" t="inlineStr">
        <is>
          <t>ANEBY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37683-2023</t>
        </is>
      </c>
      <c r="B263" s="1" t="n">
        <v>45159</v>
      </c>
      <c r="C263" s="1" t="n">
        <v>45894</v>
      </c>
      <c r="D263" t="inlineStr">
        <is>
          <t>JÖNKÖPINGS LÄN</t>
        </is>
      </c>
      <c r="E263" t="inlineStr">
        <is>
          <t>ANEBY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49484-2023</t>
        </is>
      </c>
      <c r="B264" s="1" t="n">
        <v>45205</v>
      </c>
      <c r="C264" s="1" t="n">
        <v>45894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10302-2024</t>
        </is>
      </c>
      <c r="B265" s="1" t="n">
        <v>45365.51081018519</v>
      </c>
      <c r="C265" s="1" t="n">
        <v>45894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5372-2023</t>
        </is>
      </c>
      <c r="B266" s="1" t="n">
        <v>44959</v>
      </c>
      <c r="C266" s="1" t="n">
        <v>45894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17027-2023</t>
        </is>
      </c>
      <c r="B267" s="1" t="n">
        <v>45034.38628472222</v>
      </c>
      <c r="C267" s="1" t="n">
        <v>45894</v>
      </c>
      <c r="D267" t="inlineStr">
        <is>
          <t>JÖNKÖPINGS LÄN</t>
        </is>
      </c>
      <c r="E267" t="inlineStr">
        <is>
          <t>ANEBY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58103-2022</t>
        </is>
      </c>
      <c r="B268" s="1" t="n">
        <v>44900.64357638889</v>
      </c>
      <c r="C268" s="1" t="n">
        <v>45894</v>
      </c>
      <c r="D268" t="inlineStr">
        <is>
          <t>JÖNKÖPINGS LÄN</t>
        </is>
      </c>
      <c r="E268" t="inlineStr">
        <is>
          <t>ANEBY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39694-2024</t>
        </is>
      </c>
      <c r="B269" s="1" t="n">
        <v>45552.56195601852</v>
      </c>
      <c r="C269" s="1" t="n">
        <v>45894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3553-2025</t>
        </is>
      </c>
      <c r="B270" s="1" t="n">
        <v>45680</v>
      </c>
      <c r="C270" s="1" t="n">
        <v>45894</v>
      </c>
      <c r="D270" t="inlineStr">
        <is>
          <t>JÖNKÖPINGS LÄN</t>
        </is>
      </c>
      <c r="E270" t="inlineStr">
        <is>
          <t>ANEBY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8117-2025</t>
        </is>
      </c>
      <c r="B271" s="1" t="n">
        <v>45707.74923611111</v>
      </c>
      <c r="C271" s="1" t="n">
        <v>45894</v>
      </c>
      <c r="D271" t="inlineStr">
        <is>
          <t>JÖNKÖPINGS LÄN</t>
        </is>
      </c>
      <c r="E271" t="inlineStr">
        <is>
          <t>ANEBY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44671-2024</t>
        </is>
      </c>
      <c r="B272" s="1" t="n">
        <v>45574.53689814815</v>
      </c>
      <c r="C272" s="1" t="n">
        <v>45894</v>
      </c>
      <c r="D272" t="inlineStr">
        <is>
          <t>JÖNKÖPINGS LÄN</t>
        </is>
      </c>
      <c r="E272" t="inlineStr">
        <is>
          <t>ANEBY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67414-2021</t>
        </is>
      </c>
      <c r="B273" s="1" t="n">
        <v>44524.29709490741</v>
      </c>
      <c r="C273" s="1" t="n">
        <v>45894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16928-2023</t>
        </is>
      </c>
      <c r="B274" s="1" t="n">
        <v>45033</v>
      </c>
      <c r="C274" s="1" t="n">
        <v>45894</v>
      </c>
      <c r="D274" t="inlineStr">
        <is>
          <t>JÖNKÖPINGS LÄN</t>
        </is>
      </c>
      <c r="E274" t="inlineStr">
        <is>
          <t>ANEBY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38912-2024</t>
        </is>
      </c>
      <c r="B275" s="1" t="n">
        <v>45548</v>
      </c>
      <c r="C275" s="1" t="n">
        <v>45894</v>
      </c>
      <c r="D275" t="inlineStr">
        <is>
          <t>JÖNKÖPINGS LÄN</t>
        </is>
      </c>
      <c r="E275" t="inlineStr">
        <is>
          <t>ANEBY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8772-2024</t>
        </is>
      </c>
      <c r="B276" s="1" t="n">
        <v>45356.55128472222</v>
      </c>
      <c r="C276" s="1" t="n">
        <v>45894</v>
      </c>
      <c r="D276" t="inlineStr">
        <is>
          <t>JÖNKÖPINGS LÄN</t>
        </is>
      </c>
      <c r="E276" t="inlineStr">
        <is>
          <t>ANEBY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39685-2024</t>
        </is>
      </c>
      <c r="B277" s="1" t="n">
        <v>45552.55456018518</v>
      </c>
      <c r="C277" s="1" t="n">
        <v>45894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59507-2022</t>
        </is>
      </c>
      <c r="B278" s="1" t="n">
        <v>44900</v>
      </c>
      <c r="C278" s="1" t="n">
        <v>45894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32548-2025</t>
        </is>
      </c>
      <c r="B279" s="1" t="n">
        <v>45838.53831018518</v>
      </c>
      <c r="C279" s="1" t="n">
        <v>45894</v>
      </c>
      <c r="D279" t="inlineStr">
        <is>
          <t>JÖNKÖPINGS LÄN</t>
        </is>
      </c>
      <c r="E279" t="inlineStr">
        <is>
          <t>ANEBY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32554-2025</t>
        </is>
      </c>
      <c r="B280" s="1" t="n">
        <v>45838.5571412037</v>
      </c>
      <c r="C280" s="1" t="n">
        <v>45894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23354-2023</t>
        </is>
      </c>
      <c r="B281" s="1" t="n">
        <v>45076</v>
      </c>
      <c r="C281" s="1" t="n">
        <v>45894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46783-2023</t>
        </is>
      </c>
      <c r="B282" s="1" t="n">
        <v>45198</v>
      </c>
      <c r="C282" s="1" t="n">
        <v>45894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32572-2025</t>
        </is>
      </c>
      <c r="B283" s="1" t="n">
        <v>45838</v>
      </c>
      <c r="C283" s="1" t="n">
        <v>45894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18622-2023</t>
        </is>
      </c>
      <c r="B284" s="1" t="n">
        <v>45041</v>
      </c>
      <c r="C284" s="1" t="n">
        <v>45894</v>
      </c>
      <c r="D284" t="inlineStr">
        <is>
          <t>JÖNKÖPINGS LÄN</t>
        </is>
      </c>
      <c r="E284" t="inlineStr">
        <is>
          <t>ANEBY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24784-2024</t>
        </is>
      </c>
      <c r="B285" s="1" t="n">
        <v>45460.80543981482</v>
      </c>
      <c r="C285" s="1" t="n">
        <v>45894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45806-2023</t>
        </is>
      </c>
      <c r="B286" s="1" t="n">
        <v>45189</v>
      </c>
      <c r="C286" s="1" t="n">
        <v>45894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33125-2025</t>
        </is>
      </c>
      <c r="B287" s="1" t="n">
        <v>45840.49706018518</v>
      </c>
      <c r="C287" s="1" t="n">
        <v>45894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37343-2023</t>
        </is>
      </c>
      <c r="B288" s="1" t="n">
        <v>45156</v>
      </c>
      <c r="C288" s="1" t="n">
        <v>45894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9880-2024</t>
        </is>
      </c>
      <c r="B289" s="1" t="n">
        <v>45363.45428240741</v>
      </c>
      <c r="C289" s="1" t="n">
        <v>45894</v>
      </c>
      <c r="D289" t="inlineStr">
        <is>
          <t>JÖNKÖPINGS LÄN</t>
        </is>
      </c>
      <c r="E289" t="inlineStr">
        <is>
          <t>ANEBY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33072-2025</t>
        </is>
      </c>
      <c r="B290" s="1" t="n">
        <v>45840.45266203704</v>
      </c>
      <c r="C290" s="1" t="n">
        <v>45894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23712-2023</t>
        </is>
      </c>
      <c r="B291" s="1" t="n">
        <v>45077.65021990741</v>
      </c>
      <c r="C291" s="1" t="n">
        <v>45894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10358-2024</t>
        </is>
      </c>
      <c r="B292" s="1" t="n">
        <v>45365.6053125</v>
      </c>
      <c r="C292" s="1" t="n">
        <v>45894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44051-2024</t>
        </is>
      </c>
      <c r="B293" s="1" t="n">
        <v>45572.59581018519</v>
      </c>
      <c r="C293" s="1" t="n">
        <v>45894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26498-2023</t>
        </is>
      </c>
      <c r="B294" s="1" t="n">
        <v>45092.50385416667</v>
      </c>
      <c r="C294" s="1" t="n">
        <v>45894</v>
      </c>
      <c r="D294" t="inlineStr">
        <is>
          <t>JÖNKÖPINGS LÄN</t>
        </is>
      </c>
      <c r="E294" t="inlineStr">
        <is>
          <t>ANEBY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56020-2021</t>
        </is>
      </c>
      <c r="B295" s="1" t="n">
        <v>44477.45230324074</v>
      </c>
      <c r="C295" s="1" t="n">
        <v>45894</v>
      </c>
      <c r="D295" t="inlineStr">
        <is>
          <t>JÖNKÖPINGS LÄN</t>
        </is>
      </c>
      <c r="E295" t="inlineStr">
        <is>
          <t>ANEBY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38794-2023</t>
        </is>
      </c>
      <c r="B296" s="1" t="n">
        <v>45161</v>
      </c>
      <c r="C296" s="1" t="n">
        <v>45894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8021-2025</t>
        </is>
      </c>
      <c r="B297" s="1" t="n">
        <v>45707.57689814815</v>
      </c>
      <c r="C297" s="1" t="n">
        <v>45894</v>
      </c>
      <c r="D297" t="inlineStr">
        <is>
          <t>JÖNKÖPINGS LÄN</t>
        </is>
      </c>
      <c r="E297" t="inlineStr">
        <is>
          <t>ANEBY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16306-2023</t>
        </is>
      </c>
      <c r="B298" s="1" t="n">
        <v>45028</v>
      </c>
      <c r="C298" s="1" t="n">
        <v>45894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19943-2025</t>
        </is>
      </c>
      <c r="B299" s="1" t="n">
        <v>45771.64927083333</v>
      </c>
      <c r="C299" s="1" t="n">
        <v>45894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54095-2024</t>
        </is>
      </c>
      <c r="B300" s="1" t="n">
        <v>45616.51119212963</v>
      </c>
      <c r="C300" s="1" t="n">
        <v>45894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57991-2024</t>
        </is>
      </c>
      <c r="B301" s="1" t="n">
        <v>45631.62549768519</v>
      </c>
      <c r="C301" s="1" t="n">
        <v>45894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39441-2025</t>
        </is>
      </c>
      <c r="B302" s="1" t="n">
        <v>45889</v>
      </c>
      <c r="C302" s="1" t="n">
        <v>45894</v>
      </c>
      <c r="D302" t="inlineStr">
        <is>
          <t>JÖNKÖPINGS LÄN</t>
        </is>
      </c>
      <c r="E302" t="inlineStr">
        <is>
          <t>ANEBY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4913-2025</t>
        </is>
      </c>
      <c r="B303" s="1" t="n">
        <v>45688</v>
      </c>
      <c r="C303" s="1" t="n">
        <v>45894</v>
      </c>
      <c r="D303" t="inlineStr">
        <is>
          <t>JÖNKÖPINGS LÄN</t>
        </is>
      </c>
      <c r="E303" t="inlineStr">
        <is>
          <t>ANEBY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39427-2025</t>
        </is>
      </c>
      <c r="B304" s="1" t="n">
        <v>45889</v>
      </c>
      <c r="C304" s="1" t="n">
        <v>45894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16679-2024</t>
        </is>
      </c>
      <c r="B305" s="1" t="n">
        <v>45408.68222222223</v>
      </c>
      <c r="C305" s="1" t="n">
        <v>45894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22285-2021</t>
        </is>
      </c>
      <c r="B306" s="1" t="n">
        <v>44326</v>
      </c>
      <c r="C306" s="1" t="n">
        <v>45894</v>
      </c>
      <c r="D306" t="inlineStr">
        <is>
          <t>JÖNKÖPINGS LÄN</t>
        </is>
      </c>
      <c r="E306" t="inlineStr">
        <is>
          <t>ANEBY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15091-2023</t>
        </is>
      </c>
      <c r="B307" s="1" t="n">
        <v>45016.3665625</v>
      </c>
      <c r="C307" s="1" t="n">
        <v>45894</v>
      </c>
      <c r="D307" t="inlineStr">
        <is>
          <t>JÖNKÖPINGS LÄN</t>
        </is>
      </c>
      <c r="E307" t="inlineStr">
        <is>
          <t>ANEBY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34665-2025</t>
        </is>
      </c>
      <c r="B308" s="1" t="n">
        <v>45848.38053240741</v>
      </c>
      <c r="C308" s="1" t="n">
        <v>45894</v>
      </c>
      <c r="D308" t="inlineStr">
        <is>
          <t>JÖNKÖPINGS LÄN</t>
        </is>
      </c>
      <c r="E308" t="inlineStr">
        <is>
          <t>ANEBY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39927-2025</t>
        </is>
      </c>
      <c r="B309" s="1" t="n">
        <v>45891.68484953704</v>
      </c>
      <c r="C309" s="1" t="n">
        <v>45894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8811-2023</t>
        </is>
      </c>
      <c r="B310" s="1" t="n">
        <v>44978.63289351852</v>
      </c>
      <c r="C310" s="1" t="n">
        <v>45894</v>
      </c>
      <c r="D310" t="inlineStr">
        <is>
          <t>JÖNKÖPINGS LÄN</t>
        </is>
      </c>
      <c r="E310" t="inlineStr">
        <is>
          <t>ANEBY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32768-2025</t>
        </is>
      </c>
      <c r="B311" s="1" t="n">
        <v>45839</v>
      </c>
      <c r="C311" s="1" t="n">
        <v>45894</v>
      </c>
      <c r="D311" t="inlineStr">
        <is>
          <t>JÖNKÖPINGS LÄN</t>
        </is>
      </c>
      <c r="E311" t="inlineStr">
        <is>
          <t>ANEBY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7471-2022</t>
        </is>
      </c>
      <c r="B312" s="1" t="n">
        <v>44606</v>
      </c>
      <c r="C312" s="1" t="n">
        <v>45894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11369-2024</t>
        </is>
      </c>
      <c r="B313" s="1" t="n">
        <v>45372.40991898148</v>
      </c>
      <c r="C313" s="1" t="n">
        <v>45894</v>
      </c>
      <c r="D313" t="inlineStr">
        <is>
          <t>JÖNKÖPINGS LÄN</t>
        </is>
      </c>
      <c r="E313" t="inlineStr">
        <is>
          <t>ANEBY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46780-2023</t>
        </is>
      </c>
      <c r="B314" s="1" t="n">
        <v>45198.65056712963</v>
      </c>
      <c r="C314" s="1" t="n">
        <v>45894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12238-2024</t>
        </is>
      </c>
      <c r="B315" s="1" t="n">
        <v>45378.36734953704</v>
      </c>
      <c r="C315" s="1" t="n">
        <v>45894</v>
      </c>
      <c r="D315" t="inlineStr">
        <is>
          <t>JÖNKÖPINGS LÄN</t>
        </is>
      </c>
      <c r="E315" t="inlineStr">
        <is>
          <t>ANEBY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14323-2024</t>
        </is>
      </c>
      <c r="B316" s="1" t="n">
        <v>45393.69707175926</v>
      </c>
      <c r="C316" s="1" t="n">
        <v>45894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11976-2023</t>
        </is>
      </c>
      <c r="B317" s="1" t="n">
        <v>44994</v>
      </c>
      <c r="C317" s="1" t="n">
        <v>45894</v>
      </c>
      <c r="D317" t="inlineStr">
        <is>
          <t>JÖNKÖPINGS LÄN</t>
        </is>
      </c>
      <c r="E317" t="inlineStr">
        <is>
          <t>ANEBY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12714-2023</t>
        </is>
      </c>
      <c r="B318" s="1" t="n">
        <v>45000.69547453704</v>
      </c>
      <c r="C318" s="1" t="n">
        <v>45894</v>
      </c>
      <c r="D318" t="inlineStr">
        <is>
          <t>JÖNKÖPINGS LÄN</t>
        </is>
      </c>
      <c r="E318" t="inlineStr">
        <is>
          <t>ANEBY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40563-2024</t>
        </is>
      </c>
      <c r="B319" s="1" t="n">
        <v>45555.66153935185</v>
      </c>
      <c r="C319" s="1" t="n">
        <v>45894</v>
      </c>
      <c r="D319" t="inlineStr">
        <is>
          <t>JÖNKÖPINGS LÄN</t>
        </is>
      </c>
      <c r="E319" t="inlineStr">
        <is>
          <t>ANEBY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10010-2023</t>
        </is>
      </c>
      <c r="B320" s="1" t="n">
        <v>44985.61200231482</v>
      </c>
      <c r="C320" s="1" t="n">
        <v>45894</v>
      </c>
      <c r="D320" t="inlineStr">
        <is>
          <t>JÖNKÖPINGS LÄN</t>
        </is>
      </c>
      <c r="E320" t="inlineStr">
        <is>
          <t>ANEBY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10013-2023</t>
        </is>
      </c>
      <c r="B321" s="1" t="n">
        <v>44985.61400462963</v>
      </c>
      <c r="C321" s="1" t="n">
        <v>45894</v>
      </c>
      <c r="D321" t="inlineStr">
        <is>
          <t>JÖNKÖPINGS LÄN</t>
        </is>
      </c>
      <c r="E321" t="inlineStr">
        <is>
          <t>ANEBY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14235-2023</t>
        </is>
      </c>
      <c r="B322" s="1" t="n">
        <v>45009</v>
      </c>
      <c r="C322" s="1" t="n">
        <v>45894</v>
      </c>
      <c r="D322" t="inlineStr">
        <is>
          <t>JÖNKÖPINGS LÄN</t>
        </is>
      </c>
      <c r="E322" t="inlineStr">
        <is>
          <t>ANEBY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37135-2024</t>
        </is>
      </c>
      <c r="B323" s="1" t="n">
        <v>45539.57982638889</v>
      </c>
      <c r="C323" s="1" t="n">
        <v>45894</v>
      </c>
      <c r="D323" t="inlineStr">
        <is>
          <t>JÖNKÖPINGS LÄN</t>
        </is>
      </c>
      <c r="E323" t="inlineStr">
        <is>
          <t>ANEBY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43485-2023</t>
        </is>
      </c>
      <c r="B324" s="1" t="n">
        <v>45184</v>
      </c>
      <c r="C324" s="1" t="n">
        <v>45894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23607-2024</t>
        </is>
      </c>
      <c r="B325" s="1" t="n">
        <v>45454</v>
      </c>
      <c r="C325" s="1" t="n">
        <v>45894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49451-2023</t>
        </is>
      </c>
      <c r="B326" s="1" t="n">
        <v>45205</v>
      </c>
      <c r="C326" s="1" t="n">
        <v>45894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4833-2023</t>
        </is>
      </c>
      <c r="B327" s="1" t="n">
        <v>44957.66708333333</v>
      </c>
      <c r="C327" s="1" t="n">
        <v>45894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21353-2022</t>
        </is>
      </c>
      <c r="B328" s="1" t="n">
        <v>44705.66621527778</v>
      </c>
      <c r="C328" s="1" t="n">
        <v>45894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16597-2025</t>
        </is>
      </c>
      <c r="B329" s="1" t="n">
        <v>45753.43101851852</v>
      </c>
      <c r="C329" s="1" t="n">
        <v>45894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39092-2024</t>
        </is>
      </c>
      <c r="B330" s="1" t="n">
        <v>45548</v>
      </c>
      <c r="C330" s="1" t="n">
        <v>45894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39096-2024</t>
        </is>
      </c>
      <c r="B331" s="1" t="n">
        <v>45548</v>
      </c>
      <c r="C331" s="1" t="n">
        <v>45894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2025-08-25T08:29:37Z</dcterms:created>
  <dcterms:modified xmlns:dcterms="http://purl.org/dc/terms/" xmlns:xsi="http://www.w3.org/2001/XMLSchema-instance" xsi:type="dcterms:W3CDTF">2025-08-25T08:29:37Z</dcterms:modified>
</cp:coreProperties>
</file>