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46303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46303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46303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46303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46303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46303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46303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46303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46303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46303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46303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46303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46303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46303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46303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46303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46303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46303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46303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46303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46303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46303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49437-2023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45205</v>
      </c>
      <c r="E28" s="1" t="n">
        <v>46303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Gullpudra
Kungsfågel</t>
        </is>
      </c>
      <c r="W28">
        <f>HYPERLINK("https://klasma.github.io/Logging_0604/artfynd/A 49437-2023 artfynd.xlsx", "A 49437-2023")</f>
        <v/>
      </c>
      <c r="X28">
        <f>HYPERLINK("https://klasma.github.io/Logging_0604/kartor/A 49437-2023 karta.png", "A 49437-2023")</f>
        <v/>
      </c>
      <c r="Y28">
        <f>HYPERLINK("https://klasma.github.io/Logging_0604/kartor_geotiff/A 49437-2023 georefererad karta.tif", "A 49437-2023")</f>
        <v/>
      </c>
      <c r="AA28">
        <f>HYPERLINK("https://klasma.github.io/Logging_0604/klagomål/A 49437-2023 FSC-klagomål.docx", "A 49437-2023")</f>
        <v/>
      </c>
      <c r="AB28">
        <f>HYPERLINK("https://klasma.github.io/Logging_0604/klagomålsmail/A 49437-2023 FSC-klagomål mail.docx", "A 49437-2023")</f>
        <v/>
      </c>
      <c r="AC28">
        <f>HYPERLINK("https://klasma.github.io/Logging_0604/tillsyn/A 49437-2023 tillsynsbegäran.docx", "A 49437-2023")</f>
        <v/>
      </c>
      <c r="AD28">
        <f>HYPERLINK("https://klasma.github.io/Logging_0604/tillsynsmail/A 49437-2023 tillsynsbegäran mail.docx", "A 49437-2023")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46303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412-2022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46303</v>
      </c>
      <c r="F30" t="inlineStr">
        <is>
          <t>JÖNKÖPINGS LÄN</t>
        </is>
      </c>
      <c r="G30" t="inlineStr">
        <is>
          <t>ANEBY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HYPERLINK("https://klasma.github.io/Logging_0604/artfynd/A 412-2022 artfynd.xlsx", "A 412-2022")</f>
        <v/>
      </c>
      <c r="X30">
        <f>HYPERLINK("https://klasma.github.io/Logging_0604/kartor/A 412-2022 karta.png", "A 412-2022")</f>
        <v/>
      </c>
      <c r="Y30">
        <f>HYPERLINK("https://klasma.github.io/Logging_0604/kartor_geotiff/A 412-2022 georefererad karta.tif", "A 412-2022")</f>
        <v/>
      </c>
      <c r="AA30">
        <f>HYPERLINK("https://klasma.github.io/Logging_0604/klagomål/A 412-2022 FSC-klagomål.docx", "A 412-2022")</f>
        <v/>
      </c>
      <c r="AB30">
        <f>HYPERLINK("https://klasma.github.io/Logging_0604/klagomålsmail/A 412-2022 FSC-klagomål mail.docx", "A 412-2022")</f>
        <v/>
      </c>
      <c r="AC30">
        <f>HYPERLINK("https://klasma.github.io/Logging_0604/tillsyn/A 412-2022 tillsynsbegäran.docx", "A 412-2022")</f>
        <v/>
      </c>
      <c r="AD30">
        <f>HYPERLINK("https://klasma.github.io/Logging_0604/tillsynsmail/A 412-2022 tillsynsbegäran mail.docx", "A 412-2022")</f>
        <v/>
      </c>
    </row>
    <row r="31" ht="15" customHeight="1">
      <c r="A31" t="inlineStr">
        <is>
          <t>A 53251-2023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46303</v>
      </c>
      <c r="F31" t="inlineStr">
        <is>
          <t>JÖNKÖPINGS LÄN</t>
        </is>
      </c>
      <c r="G31" t="inlineStr">
        <is>
          <t>ANEBY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HYPERLINK("https://klasma.github.io/Logging_0604/artfynd/A 53251-2023 artfynd.xlsx", "A 53251-2023")</f>
        <v/>
      </c>
      <c r="X31">
        <f>HYPERLINK("https://klasma.github.io/Logging_0604/kartor/A 53251-2023 karta.png", "A 53251-2023")</f>
        <v/>
      </c>
      <c r="Y31">
        <f>HYPERLINK("https://klasma.github.io/Logging_0604/kartor_geotiff/A 53251-2023 georefererad karta.tif", "A 53251-2023")</f>
        <v/>
      </c>
      <c r="AA31">
        <f>HYPERLINK("https://klasma.github.io/Logging_0604/klagomål/A 53251-2023 FSC-klagomål.docx", "A 53251-2023")</f>
        <v/>
      </c>
      <c r="AB31">
        <f>HYPERLINK("https://klasma.github.io/Logging_0604/klagomålsmail/A 53251-2023 FSC-klagomål mail.docx", "A 53251-2023")</f>
        <v/>
      </c>
      <c r="AC31">
        <f>HYPERLINK("https://klasma.github.io/Logging_0604/tillsyn/A 53251-2023 tillsynsbegäran.docx", "A 53251-2023")</f>
        <v/>
      </c>
      <c r="AD31">
        <f>HYPERLINK("https://klasma.github.io/Logging_0604/tillsynsmail/A 53251-2023 tillsynsbegäran mail.docx", "A 53251-2023")</f>
        <v/>
      </c>
    </row>
    <row r="32" ht="15" customHeight="1">
      <c r="A32" t="inlineStr">
        <is>
          <t>A 24863-2024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46303</v>
      </c>
      <c r="F32" t="inlineStr">
        <is>
          <t>JÖNKÖPINGS LÄN</t>
        </is>
      </c>
      <c r="G32" t="inlineStr">
        <is>
          <t>ANEBY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HYPERLINK("https://klasma.github.io/Logging_0604/artfynd/A 24863-2024 artfynd.xlsx", "A 24863-2024")</f>
        <v/>
      </c>
      <c r="X32">
        <f>HYPERLINK("https://klasma.github.io/Logging_0604/kartor/A 24863-2024 karta.png", "A 24863-2024")</f>
        <v/>
      </c>
      <c r="Y32">
        <f>HYPERLINK("https://klasma.github.io/Logging_0604/kartor_geotiff/A 24863-2024 georefererad karta.tif", "A 24863-2024")</f>
        <v/>
      </c>
      <c r="AA32">
        <f>HYPERLINK("https://klasma.github.io/Logging_0604/klagomål/A 24863-2024 FSC-klagomål.docx", "A 24863-2024")</f>
        <v/>
      </c>
      <c r="AB32">
        <f>HYPERLINK("https://klasma.github.io/Logging_0604/klagomålsmail/A 24863-2024 FSC-klagomål mail.docx", "A 24863-2024")</f>
        <v/>
      </c>
      <c r="AC32">
        <f>HYPERLINK("https://klasma.github.io/Logging_0604/tillsyn/A 24863-2024 tillsynsbegäran.docx", "A 24863-2024")</f>
        <v/>
      </c>
      <c r="AD32">
        <f>HYPERLINK("https://klasma.github.io/Logging_0604/tillsynsmail/A 24863-2024 tillsynsbegäran mail.docx", "A 24863-2024")</f>
        <v/>
      </c>
      <c r="AE32">
        <f>HYPERLINK("https://klasma.github.io/Logging_0604/fåglar/A 24863-2024 prioriterade fågelarter.docx", "A 24863-2024")</f>
        <v/>
      </c>
    </row>
    <row r="33" ht="15" customHeight="1">
      <c r="A33" t="inlineStr">
        <is>
          <t>A 40897-2024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46303</v>
      </c>
      <c r="F33" t="inlineStr">
        <is>
          <t>JÖNKÖPINGS LÄN</t>
        </is>
      </c>
      <c r="G33" t="inlineStr">
        <is>
          <t>ANEBY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Fläckmaskros</t>
        </is>
      </c>
      <c r="W33">
        <f>HYPERLINK("https://klasma.github.io/Logging_0604/artfynd/A 40897-2024 artfynd.xlsx", "A 40897-2024")</f>
        <v/>
      </c>
      <c r="X33">
        <f>HYPERLINK("https://klasma.github.io/Logging_0604/kartor/A 40897-2024 karta.png", "A 40897-2024")</f>
        <v/>
      </c>
      <c r="Y33">
        <f>HYPERLINK("https://klasma.github.io/Logging_0604/kartor_geotiff/A 40897-2024 georefererad karta.tif", "A 40897-2024")</f>
        <v/>
      </c>
      <c r="AA33">
        <f>HYPERLINK("https://klasma.github.io/Logging_0604/klagomål/A 40897-2024 FSC-klagomål.docx", "A 40897-2024")</f>
        <v/>
      </c>
      <c r="AB33">
        <f>HYPERLINK("https://klasma.github.io/Logging_0604/klagomålsmail/A 40897-2024 FSC-klagomål mail.docx", "A 40897-2024")</f>
        <v/>
      </c>
      <c r="AC33">
        <f>HYPERLINK("https://klasma.github.io/Logging_0604/tillsyn/A 40897-2024 tillsynsbegäran.docx", "A 40897-2024")</f>
        <v/>
      </c>
      <c r="AD33">
        <f>HYPERLINK("https://klasma.github.io/Logging_0604/tillsynsmail/A 40897-2024 tillsynsbegäran mail.docx", "A 40897-2024")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46303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46303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46303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46303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28452-2022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44747</v>
      </c>
      <c r="E38" s="1" t="n">
        <v>46303</v>
      </c>
      <c r="F38" t="inlineStr">
        <is>
          <t>JÖNKÖPINGS LÄN</t>
        </is>
      </c>
      <c r="G38" t="inlineStr">
        <is>
          <t>ANEBY</t>
        </is>
      </c>
      <c r="I38" t="n">
        <v>1.2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Odontocerum albicorne</t>
        </is>
      </c>
      <c r="W38">
        <f>HYPERLINK("https://klasma.github.io/Logging_0604/artfynd/A 28452-2022 artfynd.xlsx", "A 28452-2022")</f>
        <v/>
      </c>
      <c r="X38">
        <f>HYPERLINK("https://klasma.github.io/Logging_0604/kartor/A 28452-2022 karta.png", "A 28452-2022")</f>
        <v/>
      </c>
      <c r="Y38">
        <f>HYPERLINK("https://klasma.github.io/Logging_0604/kartor_geotiff/A 28452-2022 georefererad karta.tif", "A 28452-2022")</f>
        <v/>
      </c>
      <c r="AA38">
        <f>HYPERLINK("https://klasma.github.io/Logging_0604/klagomål/A 28452-2022 FSC-klagomål.docx", "A 28452-2022")</f>
        <v/>
      </c>
      <c r="AB38">
        <f>HYPERLINK("https://klasma.github.io/Logging_0604/klagomålsmail/A 28452-2022 FSC-klagomål mail.docx", "A 28452-2022")</f>
        <v/>
      </c>
      <c r="AC38">
        <f>HYPERLINK("https://klasma.github.io/Logging_0604/tillsyn/A 28452-2022 tillsynsbegäran.docx", "A 28452-2022")</f>
        <v/>
      </c>
      <c r="AD38">
        <f>HYPERLINK("https://klasma.github.io/Logging_0604/tillsynsmail/A 28452-2022 tillsynsbegäran mail.docx", "A 28452-2022")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46303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46303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46303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46303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46303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36378-2026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46303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HYPERLINK("https://klasma.github.io/Logging_0604/artfynd/A 36378-2026 artfynd.xlsx", "A 36378-2026")</f>
        <v/>
      </c>
      <c r="X44">
        <f>HYPERLINK("https://klasma.github.io/Logging_0604/kartor/A 36378-2026 karta.png", "A 36378-2026")</f>
        <v/>
      </c>
      <c r="Y44">
        <f>HYPERLINK("https://klasma.github.io/Logging_0604/kartor_geotiff/A 36378-2026 georefererad karta.tif", "A 36378-2026")</f>
        <v/>
      </c>
      <c r="AA44">
        <f>HYPERLINK("https://klasma.github.io/Logging_0604/klagomål/A 36378-2026 FSC-klagomål.docx", "A 36378-2026")</f>
        <v/>
      </c>
      <c r="AB44">
        <f>HYPERLINK("https://klasma.github.io/Logging_0604/klagomålsmail/A 36378-2026 FSC-klagomål mail.docx", "A 36378-2026")</f>
        <v/>
      </c>
      <c r="AC44">
        <f>HYPERLINK("https://klasma.github.io/Logging_0604/tillsyn/A 36378-2026 tillsynsbegäran.docx", "A 36378-2026")</f>
        <v/>
      </c>
      <c r="AD44">
        <f>HYPERLINK("https://klasma.github.io/Logging_0604/tillsynsmail/A 36378-2026 tillsynsbegäran mail.docx", "A 36378-2026")</f>
        <v/>
      </c>
      <c r="AE44">
        <f>HYPERLINK("https://klasma.github.io/Logging_0604/fåglar/A 36378-2026 prioriterade fågelarter.docx", "A 36378-2026")</f>
        <v/>
      </c>
    </row>
    <row r="45" ht="15" customHeight="1">
      <c r="A45" t="inlineStr">
        <is>
          <t>A 8117-2025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45707</v>
      </c>
      <c r="E45" s="1" t="n">
        <v>46303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Enkelbeckasin</t>
        </is>
      </c>
      <c r="W45">
        <f>HYPERLINK("https://klasma.github.io/Logging_0604/artfynd/A 8117-2025 artfynd.xlsx", "A 8117-2025")</f>
        <v/>
      </c>
      <c r="X45">
        <f>HYPERLINK("https://klasma.github.io/Logging_0604/kartor/A 8117-2025 karta.png", "A 8117-2025")</f>
        <v/>
      </c>
      <c r="Y45">
        <f>HYPERLINK("https://klasma.github.io/Logging_0604/kartor_geotiff/A 8117-2025 georefererad karta.tif", "A 8117-2025")</f>
        <v/>
      </c>
      <c r="AA45">
        <f>HYPERLINK("https://klasma.github.io/Logging_0604/klagomål/A 8117-2025 FSC-klagomål.docx", "A 8117-2025")</f>
        <v/>
      </c>
      <c r="AB45">
        <f>HYPERLINK("https://klasma.github.io/Logging_0604/klagomålsmail/A 8117-2025 FSC-klagomål mail.docx", "A 8117-2025")</f>
        <v/>
      </c>
      <c r="AC45">
        <f>HYPERLINK("https://klasma.github.io/Logging_0604/tillsyn/A 8117-2025 tillsynsbegäran.docx", "A 8117-2025")</f>
        <v/>
      </c>
      <c r="AD45">
        <f>HYPERLINK("https://klasma.github.io/Logging_0604/tillsynsmail/A 8117-2025 tillsynsbegäran mail.docx", "A 8117-2025")</f>
        <v/>
      </c>
      <c r="AE45">
        <f>HYPERLINK("https://klasma.github.io/Logging_0604/fåglar/A 8117-2025 prioriterade fågelarter.docx", "A 8117-2025")</f>
        <v/>
      </c>
    </row>
    <row r="46" ht="15" customHeight="1">
      <c r="A46" t="inlineStr">
        <is>
          <t>A 25875-2024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45467</v>
      </c>
      <c r="E46" s="1" t="n">
        <v>46303</v>
      </c>
      <c r="F46" t="inlineStr">
        <is>
          <t>JÖNKÖPINGS LÄN</t>
        </is>
      </c>
      <c r="G46" t="inlineStr">
        <is>
          <t>ANEBY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HYPERLINK("https://klasma.github.io/Logging_0604/artfynd/A 25875-2024 artfynd.xlsx", "A 25875-2024")</f>
        <v/>
      </c>
      <c r="X46">
        <f>HYPERLINK("https://klasma.github.io/Logging_0604/kartor/A 25875-2024 karta.png", "A 25875-2024")</f>
        <v/>
      </c>
      <c r="Y46">
        <f>HYPERLINK("https://klasma.github.io/Logging_0604/kartor_geotiff/A 25875-2024 georefererad karta.tif", "A 25875-2024")</f>
        <v/>
      </c>
      <c r="AA46">
        <f>HYPERLINK("https://klasma.github.io/Logging_0604/klagomål/A 25875-2024 FSC-klagomål.docx", "A 25875-2024")</f>
        <v/>
      </c>
      <c r="AB46">
        <f>HYPERLINK("https://klasma.github.io/Logging_0604/klagomålsmail/A 25875-2024 FSC-klagomål mail.docx", "A 25875-2024")</f>
        <v/>
      </c>
      <c r="AC46">
        <f>HYPERLINK("https://klasma.github.io/Logging_0604/tillsyn/A 25875-2024 tillsynsbegäran.docx", "A 25875-2024")</f>
        <v/>
      </c>
      <c r="AD46">
        <f>HYPERLINK("https://klasma.github.io/Logging_0604/tillsynsmail/A 25875-2024 tillsynsbegäran mail.docx", "A 25875-2024")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46303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46303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46303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46303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46303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46303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46303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46303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46303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46303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46303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46303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46303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46303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46303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46303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46303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46303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46303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46303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46303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46303</v>
      </c>
      <c r="F69" t="inlineStr">
        <is>
          <t>JÖNKÖPINGS LÄN</t>
        </is>
      </c>
      <c r="G69" t="inlineStr">
        <is>
          <t>ANEBY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46303</v>
      </c>
      <c r="F70" t="inlineStr">
        <is>
          <t>JÖNKÖPINGS LÄN</t>
        </is>
      </c>
      <c r="G70" t="inlineStr">
        <is>
          <t>ANEBY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46303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45691</v>
      </c>
      <c r="E72" s="1" t="n">
        <v>46303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44477</v>
      </c>
      <c r="E73" s="1" t="n">
        <v>46303</v>
      </c>
      <c r="F73" t="inlineStr">
        <is>
          <t>JÖNKÖPINGS LÄN</t>
        </is>
      </c>
      <c r="G73" t="inlineStr">
        <is>
          <t>ANEBY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46303</v>
      </c>
      <c r="F74" t="inlineStr">
        <is>
          <t>JÖNKÖPINGS LÄN</t>
        </is>
      </c>
      <c r="G74" t="inlineStr">
        <is>
          <t>ANEBY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46303</v>
      </c>
      <c r="F75" t="inlineStr">
        <is>
          <t>JÖNKÖPINGS LÄN</t>
        </is>
      </c>
      <c r="G75" t="inlineStr">
        <is>
          <t>ANEBY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46303</v>
      </c>
      <c r="F76" t="inlineStr">
        <is>
          <t>JÖNKÖPINGS LÄN</t>
        </is>
      </c>
      <c r="G76" t="inlineStr">
        <is>
          <t>ANEBY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45033</v>
      </c>
      <c r="E77" s="1" t="n">
        <v>46303</v>
      </c>
      <c r="F77" t="inlineStr">
        <is>
          <t>JÖNKÖPINGS LÄN</t>
        </is>
      </c>
      <c r="G77" t="inlineStr">
        <is>
          <t>ANEBY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55158-2022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46303</v>
      </c>
      <c r="F78" t="inlineStr">
        <is>
          <t>JÖNKÖPINGS LÄN</t>
        </is>
      </c>
      <c r="G78" t="inlineStr">
        <is>
          <t>ANEBY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45033</v>
      </c>
      <c r="E79" s="1" t="n">
        <v>46303</v>
      </c>
      <c r="F79" t="inlineStr">
        <is>
          <t>JÖNKÖPINGS LÄN</t>
        </is>
      </c>
      <c r="G79" t="inlineStr">
        <is>
          <t>ANEBY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46303</v>
      </c>
      <c r="F80" t="inlineStr">
        <is>
          <t>JÖNKÖPINGS LÄN</t>
        </is>
      </c>
      <c r="G80" t="inlineStr">
        <is>
          <t>ANEBY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46303</v>
      </c>
      <c r="F81" t="inlineStr">
        <is>
          <t>JÖNKÖPINGS LÄN</t>
        </is>
      </c>
      <c r="G81" t="inlineStr">
        <is>
          <t>ANEBY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46303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46303</v>
      </c>
      <c r="F83" t="inlineStr">
        <is>
          <t>JÖNKÖPINGS LÄN</t>
        </is>
      </c>
      <c r="G83" t="inlineStr">
        <is>
          <t>ANEBY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46303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46303</v>
      </c>
      <c r="F85" t="inlineStr">
        <is>
          <t>JÖNKÖPINGS LÄN</t>
        </is>
      </c>
      <c r="G85" t="inlineStr">
        <is>
          <t>ANEBY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46303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46303</v>
      </c>
      <c r="F87" t="inlineStr">
        <is>
          <t>JÖNKÖPINGS LÄN</t>
        </is>
      </c>
      <c r="G87" t="inlineStr">
        <is>
          <t>ANEBY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46303</v>
      </c>
      <c r="F88" t="inlineStr">
        <is>
          <t>JÖNKÖPINGS LÄN</t>
        </is>
      </c>
      <c r="G88" t="inlineStr">
        <is>
          <t>ANEBY</t>
        </is>
      </c>
      <c r="H88" t="inlineStr">
        <is>
          <t>Kyrkan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46303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45001</v>
      </c>
      <c r="E90" s="1" t="n">
        <v>46303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46303</v>
      </c>
      <c r="F91" t="inlineStr">
        <is>
          <t>JÖNKÖPINGS LÄN</t>
        </is>
      </c>
      <c r="G91" t="inlineStr">
        <is>
          <t>ANEBY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45076</v>
      </c>
      <c r="E92" s="1" t="n">
        <v>46303</v>
      </c>
      <c r="F92" t="inlineStr">
        <is>
          <t>JÖNKÖPINGS LÄN</t>
        </is>
      </c>
      <c r="G92" t="inlineStr">
        <is>
          <t>ANEBY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46303</v>
      </c>
      <c r="F93" t="inlineStr">
        <is>
          <t>JÖNKÖPINGS LÄN</t>
        </is>
      </c>
      <c r="G93" t="inlineStr">
        <is>
          <t>ANEBY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45698</v>
      </c>
      <c r="E94" s="1" t="n">
        <v>46303</v>
      </c>
      <c r="F94" t="inlineStr">
        <is>
          <t>JÖNKÖPINGS LÄN</t>
        </is>
      </c>
      <c r="G94" t="inlineStr">
        <is>
          <t>ANEBY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46303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26498-2023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46303</v>
      </c>
      <c r="F96" t="inlineStr">
        <is>
          <t>JÖNKÖPINGS LÄN</t>
        </is>
      </c>
      <c r="G96" t="inlineStr">
        <is>
          <t>ANEBY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46303</v>
      </c>
      <c r="F97" t="inlineStr">
        <is>
          <t>JÖNKÖPINGS LÄN</t>
        </is>
      </c>
      <c r="G97" t="inlineStr">
        <is>
          <t>ANEBY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46303</v>
      </c>
      <c r="F98" t="inlineStr">
        <is>
          <t>JÖNKÖPINGS LÄN</t>
        </is>
      </c>
      <c r="G98" t="inlineStr">
        <is>
          <t>ANEBY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46303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46303</v>
      </c>
      <c r="F100" t="inlineStr">
        <is>
          <t>JÖNKÖPINGS LÄN</t>
        </is>
      </c>
      <c r="G100" t="inlineStr">
        <is>
          <t>ANEBY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46303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46303</v>
      </c>
      <c r="F102" t="inlineStr">
        <is>
          <t>JÖNKÖPINGS LÄN</t>
        </is>
      </c>
      <c r="G102" t="inlineStr">
        <is>
          <t>ANEBY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46303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46303</v>
      </c>
      <c r="F104" t="inlineStr">
        <is>
          <t>JÖNKÖPINGS LÄN</t>
        </is>
      </c>
      <c r="G104" t="inlineStr">
        <is>
          <t>ANEBY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46303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52267-2024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46303</v>
      </c>
      <c r="F106" t="inlineStr">
        <is>
          <t>JÖNKÖPINGS LÄN</t>
        </is>
      </c>
      <c r="G106" t="inlineStr">
        <is>
          <t>ANEBY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14901-2024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45398</v>
      </c>
      <c r="E107" s="1" t="n">
        <v>46303</v>
      </c>
      <c r="F107" t="inlineStr">
        <is>
          <t>JÖNKÖPINGS LÄN</t>
        </is>
      </c>
      <c r="G107" t="inlineStr">
        <is>
          <t>ANEBY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46303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46303</v>
      </c>
      <c r="F109" t="inlineStr">
        <is>
          <t>JÖNKÖPINGS LÄN</t>
        </is>
      </c>
      <c r="G109" t="inlineStr">
        <is>
          <t>ANEBY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46303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46303</v>
      </c>
      <c r="F111" t="inlineStr">
        <is>
          <t>JÖNKÖPINGS LÄN</t>
        </is>
      </c>
      <c r="G111" t="inlineStr">
        <is>
          <t>ANEBY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46303</v>
      </c>
      <c r="F112" t="inlineStr">
        <is>
          <t>JÖNKÖPINGS LÄN</t>
        </is>
      </c>
      <c r="G112" t="inlineStr">
        <is>
          <t>ANEBY</t>
        </is>
      </c>
      <c r="I112" t="n">
        <v>10.1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46303</v>
      </c>
      <c r="F113" t="inlineStr">
        <is>
          <t>JÖNKÖPINGS LÄN</t>
        </is>
      </c>
      <c r="G113" t="inlineStr">
        <is>
          <t>ANEBY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46303</v>
      </c>
      <c r="F114" t="inlineStr">
        <is>
          <t>JÖNKÖPINGS LÄN</t>
        </is>
      </c>
      <c r="G114" t="inlineStr">
        <is>
          <t>ANEBY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46303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46303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44860</v>
      </c>
      <c r="E117" s="1" t="n">
        <v>46303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46303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46303</v>
      </c>
      <c r="F119" t="inlineStr">
        <is>
          <t>JÖNKÖPINGS LÄN</t>
        </is>
      </c>
      <c r="G119" t="inlineStr">
        <is>
          <t>ANEBY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46303</v>
      </c>
      <c r="F120" t="inlineStr">
        <is>
          <t>JÖNKÖPINGS LÄN</t>
        </is>
      </c>
      <c r="G120" t="inlineStr">
        <is>
          <t>ANEBY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44900</v>
      </c>
      <c r="E121" s="1" t="n">
        <v>46303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46303</v>
      </c>
      <c r="F122" t="inlineStr">
        <is>
          <t>JÖNKÖPINGS LÄN</t>
        </is>
      </c>
      <c r="G122" t="inlineStr">
        <is>
          <t>ANEBY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45077</v>
      </c>
      <c r="E123" s="1" t="n">
        <v>46303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44481</v>
      </c>
      <c r="E124" s="1" t="n">
        <v>46303</v>
      </c>
      <c r="F124" t="inlineStr">
        <is>
          <t>JÖNKÖPINGS LÄN</t>
        </is>
      </c>
      <c r="G124" t="inlineStr">
        <is>
          <t>ANEBY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46303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46303</v>
      </c>
      <c r="F126" t="inlineStr">
        <is>
          <t>JÖNKÖPINGS LÄN</t>
        </is>
      </c>
      <c r="G126" t="inlineStr">
        <is>
          <t>ANEBY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46303</v>
      </c>
      <c r="F127" t="inlineStr">
        <is>
          <t>JÖNKÖPINGS LÄN</t>
        </is>
      </c>
      <c r="G127" t="inlineStr">
        <is>
          <t>ANEBY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46303</v>
      </c>
      <c r="F128" t="inlineStr">
        <is>
          <t>JÖNKÖPINGS LÄN</t>
        </is>
      </c>
      <c r="G128" t="inlineStr">
        <is>
          <t>ANEBY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45122</v>
      </c>
      <c r="E129" s="1" t="n">
        <v>46303</v>
      </c>
      <c r="F129" t="inlineStr">
        <is>
          <t>JÖNKÖPINGS LÄN</t>
        </is>
      </c>
      <c r="G129" t="inlineStr">
        <is>
          <t>ANEBY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46303</v>
      </c>
      <c r="F130" t="inlineStr">
        <is>
          <t>JÖNKÖPINGS LÄN</t>
        </is>
      </c>
      <c r="G130" t="inlineStr">
        <is>
          <t>ANEBY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46303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35555-2024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46303</v>
      </c>
      <c r="F132" t="inlineStr">
        <is>
          <t>JÖNKÖPINGS LÄN</t>
        </is>
      </c>
      <c r="G132" t="inlineStr">
        <is>
          <t>ANEBY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44957</v>
      </c>
      <c r="E133" s="1" t="n">
        <v>46303</v>
      </c>
      <c r="F133" t="inlineStr">
        <is>
          <t>JÖNKÖPINGS LÄN</t>
        </is>
      </c>
      <c r="G133" t="inlineStr">
        <is>
          <t>ANEBY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46303</v>
      </c>
      <c r="F134" t="inlineStr">
        <is>
          <t>JÖNKÖPINGS LÄN</t>
        </is>
      </c>
      <c r="G134" t="inlineStr">
        <is>
          <t>ANEBY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46303</v>
      </c>
      <c r="F135" t="inlineStr">
        <is>
          <t>JÖNKÖPINGS LÄN</t>
        </is>
      </c>
      <c r="G135" t="inlineStr">
        <is>
          <t>ANEBY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46303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45911</v>
      </c>
      <c r="E137" s="1" t="n">
        <v>46303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46303</v>
      </c>
      <c r="F138" t="inlineStr">
        <is>
          <t>JÖNKÖPINGS LÄN</t>
        </is>
      </c>
      <c r="G138" t="inlineStr">
        <is>
          <t>ANEBY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46303</v>
      </c>
      <c r="F139" t="inlineStr">
        <is>
          <t>JÖNKÖPINGS LÄN</t>
        </is>
      </c>
      <c r="G139" t="inlineStr">
        <is>
          <t>ANEBY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46303</v>
      </c>
      <c r="F140" t="inlineStr">
        <is>
          <t>JÖNKÖPINGS LÄN</t>
        </is>
      </c>
      <c r="G140" t="inlineStr">
        <is>
          <t>ANEBY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46303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46303</v>
      </c>
      <c r="F142" t="inlineStr">
        <is>
          <t>JÖNKÖPINGS LÄN</t>
        </is>
      </c>
      <c r="G142" t="inlineStr">
        <is>
          <t>ANEBY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46303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46303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46303</v>
      </c>
      <c r="F145" t="inlineStr">
        <is>
          <t>JÖNKÖPINGS LÄN</t>
        </is>
      </c>
      <c r="G145" t="inlineStr">
        <is>
          <t>ANEBY</t>
        </is>
      </c>
      <c r="H145" t="inlineStr">
        <is>
          <t>Övriga Aktiebolag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45304</v>
      </c>
      <c r="E146" s="1" t="n">
        <v>46303</v>
      </c>
      <c r="F146" t="inlineStr">
        <is>
          <t>JÖNKÖPINGS LÄN</t>
        </is>
      </c>
      <c r="G146" t="inlineStr">
        <is>
          <t>ANEBY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46303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38794-2023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45161</v>
      </c>
      <c r="E148" s="1" t="n">
        <v>46303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46303</v>
      </c>
      <c r="F149" t="inlineStr">
        <is>
          <t>JÖNKÖPINGS LÄN</t>
        </is>
      </c>
      <c r="G149" t="inlineStr">
        <is>
          <t>ANEBY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44890</v>
      </c>
      <c r="E150" s="1" t="n">
        <v>46303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63624-2023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45275</v>
      </c>
      <c r="E151" s="1" t="n">
        <v>46303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46303</v>
      </c>
      <c r="F152" t="inlineStr">
        <is>
          <t>JÖNKÖPINGS LÄN</t>
        </is>
      </c>
      <c r="G152" t="inlineStr">
        <is>
          <t>ANEBY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HYPERLINK("https://klasma.github.io/Logging_0604/knärot/A 25963-2024 karta knärot.png", "A 25963-2024")</f>
        <v/>
      </c>
      <c r="AA152">
        <f>HYPERLINK("https://klasma.github.io/Logging_0604/klagomål/A 25963-2024 FSC-klagomål.docx", "A 25963-2024")</f>
        <v/>
      </c>
      <c r="AB152">
        <f>HYPERLINK("https://klasma.github.io/Logging_0604/klagomålsmail/A 25963-2024 FSC-klagomål mail.docx", "A 25963-2024")</f>
        <v/>
      </c>
      <c r="AC152">
        <f>HYPERLINK("https://klasma.github.io/Logging_0604/tillsyn/A 25963-2024 tillsynsbegäran.docx", "A 25963-2024")</f>
        <v/>
      </c>
      <c r="AD152">
        <f>HYPERLINK("https://klasma.github.io/Logging_0604/tillsynsmail/A 25963-2024 tillsynsbegäran mail.docx", "A 25963-2024")</f>
        <v/>
      </c>
    </row>
    <row r="153" ht="15" customHeight="1">
      <c r="A153" t="inlineStr">
        <is>
          <t>A 26236-2024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46303</v>
      </c>
      <c r="F153" t="inlineStr">
        <is>
          <t>JÖNKÖPINGS LÄN</t>
        </is>
      </c>
      <c r="G153" t="inlineStr">
        <is>
          <t>ANEBY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37343-2023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45156</v>
      </c>
      <c r="E154" s="1" t="n">
        <v>46303</v>
      </c>
      <c r="F154" t="inlineStr">
        <is>
          <t>JÖNKÖPINGS LÄN</t>
        </is>
      </c>
      <c r="G154" t="inlineStr">
        <is>
          <t>ANEBY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46303</v>
      </c>
      <c r="F155" t="inlineStr">
        <is>
          <t>JÖNKÖPINGS LÄN</t>
        </is>
      </c>
      <c r="G155" t="inlineStr">
        <is>
          <t>ANEBY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46303</v>
      </c>
      <c r="F156" t="inlineStr">
        <is>
          <t>JÖNKÖPINGS LÄN</t>
        </is>
      </c>
      <c r="G156" t="inlineStr">
        <is>
          <t>ANEBY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46303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46303</v>
      </c>
      <c r="F158" t="inlineStr">
        <is>
          <t>JÖNKÖPINGS LÄN</t>
        </is>
      </c>
      <c r="G158" t="inlineStr">
        <is>
          <t>ANEBY</t>
        </is>
      </c>
      <c r="H158" t="inlineStr">
        <is>
          <t>Övriga Aktiebolag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73166-2021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44550</v>
      </c>
      <c r="E159" s="1" t="n">
        <v>46303</v>
      </c>
      <c r="F159" t="inlineStr">
        <is>
          <t>JÖNKÖPINGS LÄN</t>
        </is>
      </c>
      <c r="G159" t="inlineStr">
        <is>
          <t>ANEBY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45593</v>
      </c>
      <c r="E160" s="1" t="n">
        <v>46303</v>
      </c>
      <c r="F160" t="inlineStr">
        <is>
          <t>JÖNKÖPINGS LÄN</t>
        </is>
      </c>
      <c r="G160" t="inlineStr">
        <is>
          <t>ANEBY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46303</v>
      </c>
      <c r="F161" t="inlineStr">
        <is>
          <t>JÖNKÖPINGS LÄN</t>
        </is>
      </c>
      <c r="G161" t="inlineStr">
        <is>
          <t>ANEBY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27714-2024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45475</v>
      </c>
      <c r="E162" s="1" t="n">
        <v>46303</v>
      </c>
      <c r="F162" t="inlineStr">
        <is>
          <t>JÖNKÖPINGS LÄN</t>
        </is>
      </c>
      <c r="G162" t="inlineStr">
        <is>
          <t>ANEBY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46303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50069-2024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45600</v>
      </c>
      <c r="E164" s="1" t="n">
        <v>46303</v>
      </c>
      <c r="F164" t="inlineStr">
        <is>
          <t>JÖNKÖPINGS LÄN</t>
        </is>
      </c>
      <c r="G164" t="inlineStr">
        <is>
          <t>ANEBY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46303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46303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46303</v>
      </c>
      <c r="F167" t="inlineStr">
        <is>
          <t>JÖNKÖPINGS LÄN</t>
        </is>
      </c>
      <c r="G167" t="inlineStr">
        <is>
          <t>ANEBY</t>
        </is>
      </c>
      <c r="H167" t="inlineStr">
        <is>
          <t>Övriga Aktiebolag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54213-2024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45616</v>
      </c>
      <c r="E168" s="1" t="n">
        <v>46303</v>
      </c>
      <c r="F168" t="inlineStr">
        <is>
          <t>JÖNKÖPINGS LÄN</t>
        </is>
      </c>
      <c r="G168" t="inlineStr">
        <is>
          <t>ANEBY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46303</v>
      </c>
      <c r="F169" t="inlineStr">
        <is>
          <t>JÖNKÖPINGS LÄN</t>
        </is>
      </c>
      <c r="G169" t="inlineStr">
        <is>
          <t>ANEBY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46303</v>
      </c>
      <c r="F170" t="inlineStr">
        <is>
          <t>JÖNKÖPINGS LÄN</t>
        </is>
      </c>
      <c r="G170" t="inlineStr">
        <is>
          <t>ANEBY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12477-2023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44999</v>
      </c>
      <c r="E171" s="1" t="n">
        <v>46303</v>
      </c>
      <c r="F171" t="inlineStr">
        <is>
          <t>JÖNKÖPINGS LÄN</t>
        </is>
      </c>
      <c r="G171" t="inlineStr">
        <is>
          <t>ANEBY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46303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46303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46303</v>
      </c>
      <c r="F174" t="inlineStr">
        <is>
          <t>JÖNKÖPINGS LÄN</t>
        </is>
      </c>
      <c r="G174" t="inlineStr">
        <is>
          <t>ANEBY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45124</v>
      </c>
      <c r="E175" s="1" t="n">
        <v>46303</v>
      </c>
      <c r="F175" t="inlineStr">
        <is>
          <t>JÖNKÖPINGS LÄN</t>
        </is>
      </c>
      <c r="G175" t="inlineStr">
        <is>
          <t>ANEBY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46303</v>
      </c>
      <c r="F176" t="inlineStr">
        <is>
          <t>JÖNKÖPINGS LÄN</t>
        </is>
      </c>
      <c r="G176" t="inlineStr">
        <is>
          <t>ANEBY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46303</v>
      </c>
      <c r="F177" t="inlineStr">
        <is>
          <t>JÖNKÖPINGS LÄN</t>
        </is>
      </c>
      <c r="G177" t="inlineStr">
        <is>
          <t>ANEBY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45126</v>
      </c>
      <c r="E178" s="1" t="n">
        <v>46303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46303</v>
      </c>
      <c r="F179" t="inlineStr">
        <is>
          <t>JÖNKÖPINGS LÄN</t>
        </is>
      </c>
      <c r="G179" t="inlineStr">
        <is>
          <t>ANEBY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45688</v>
      </c>
      <c r="E180" s="1" t="n">
        <v>46303</v>
      </c>
      <c r="F180" t="inlineStr">
        <is>
          <t>JÖNKÖPINGS LÄN</t>
        </is>
      </c>
      <c r="G180" t="inlineStr">
        <is>
          <t>ANEBY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46303</v>
      </c>
      <c r="F181" t="inlineStr">
        <is>
          <t>JÖNKÖPINGS LÄN</t>
        </is>
      </c>
      <c r="G181" t="inlineStr">
        <is>
          <t>ANEBY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46303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45068</v>
      </c>
      <c r="E183" s="1" t="n">
        <v>46303</v>
      </c>
      <c r="F183" t="inlineStr">
        <is>
          <t>JÖNKÖPINGS LÄN</t>
        </is>
      </c>
      <c r="G183" t="inlineStr">
        <is>
          <t>ANEBY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46303</v>
      </c>
      <c r="F184" t="inlineStr">
        <is>
          <t>JÖNKÖPINGS LÄN</t>
        </is>
      </c>
      <c r="G184" t="inlineStr">
        <is>
          <t>ANEBY</t>
        </is>
      </c>
      <c r="H184" t="inlineStr">
        <is>
          <t>Sveaskog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46303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45616</v>
      </c>
      <c r="E186" s="1" t="n">
        <v>46303</v>
      </c>
      <c r="F186" t="inlineStr">
        <is>
          <t>JÖNKÖPINGS LÄN</t>
        </is>
      </c>
      <c r="G186" t="inlineStr">
        <is>
          <t>ANEBY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46303</v>
      </c>
      <c r="F187" t="inlineStr">
        <is>
          <t>JÖNKÖPINGS LÄN</t>
        </is>
      </c>
      <c r="G187" t="inlineStr">
        <is>
          <t>ANEBY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46303</v>
      </c>
      <c r="F188" t="inlineStr">
        <is>
          <t>JÖNKÖPINGS LÄN</t>
        </is>
      </c>
      <c r="G188" t="inlineStr">
        <is>
          <t>ANEBY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46303</v>
      </c>
      <c r="F189" t="inlineStr">
        <is>
          <t>JÖNKÖPINGS LÄN</t>
        </is>
      </c>
      <c r="G189" t="inlineStr">
        <is>
          <t>ANEBY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46303</v>
      </c>
      <c r="F190" t="inlineStr">
        <is>
          <t>JÖNKÖPINGS LÄN</t>
        </is>
      </c>
      <c r="G190" t="inlineStr">
        <is>
          <t>ANEBY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46303</v>
      </c>
      <c r="F191" t="inlineStr">
        <is>
          <t>JÖNKÖPINGS LÄN</t>
        </is>
      </c>
      <c r="G191" t="inlineStr">
        <is>
          <t>ANEBY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10155-2024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45364</v>
      </c>
      <c r="E192" s="1" t="n">
        <v>46303</v>
      </c>
      <c r="F192" t="inlineStr">
        <is>
          <t>JÖNKÖPINGS LÄN</t>
        </is>
      </c>
      <c r="G192" t="inlineStr">
        <is>
          <t>ANEBY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46303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46303</v>
      </c>
      <c r="F194" t="inlineStr">
        <is>
          <t>JÖNKÖPINGS LÄN</t>
        </is>
      </c>
      <c r="G194" t="inlineStr">
        <is>
          <t>ANEBY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46303</v>
      </c>
      <c r="F195" t="inlineStr">
        <is>
          <t>JÖNKÖPINGS LÄN</t>
        </is>
      </c>
      <c r="G195" t="inlineStr">
        <is>
          <t>ANEBY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46303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19.6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46303</v>
      </c>
      <c r="F197" t="inlineStr">
        <is>
          <t>JÖNKÖPINGS LÄN</t>
        </is>
      </c>
      <c r="G197" t="inlineStr">
        <is>
          <t>ANEBY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46303</v>
      </c>
      <c r="F198" t="inlineStr">
        <is>
          <t>JÖNKÖPINGS LÄN</t>
        </is>
      </c>
      <c r="G198" t="inlineStr">
        <is>
          <t>ANEBY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46303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46303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58123-2025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45982</v>
      </c>
      <c r="E201" s="1" t="n">
        <v>46303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21353-2022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44705</v>
      </c>
      <c r="E202" s="1" t="n">
        <v>46303</v>
      </c>
      <c r="F202" t="inlineStr">
        <is>
          <t>JÖNKÖPINGS LÄN</t>
        </is>
      </c>
      <c r="G202" t="inlineStr">
        <is>
          <t>ANEBY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46303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46303</v>
      </c>
      <c r="F204" t="inlineStr">
        <is>
          <t>JÖNKÖPINGS LÄN</t>
        </is>
      </c>
      <c r="G204" t="inlineStr">
        <is>
          <t>ANEBY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44678</v>
      </c>
      <c r="E205" s="1" t="n">
        <v>46303</v>
      </c>
      <c r="F205" t="inlineStr">
        <is>
          <t>JÖNKÖPINGS LÄN</t>
        </is>
      </c>
      <c r="G205" t="inlineStr">
        <is>
          <t>ANEBY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46147</v>
      </c>
      <c r="E206" s="1" t="n">
        <v>46303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11565-2025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45727</v>
      </c>
      <c r="E207" s="1" t="n">
        <v>46303</v>
      </c>
      <c r="F207" t="inlineStr">
        <is>
          <t>JÖNKÖPINGS LÄN</t>
        </is>
      </c>
      <c r="G207" t="inlineStr">
        <is>
          <t>ANEBY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46303</v>
      </c>
      <c r="F208" t="inlineStr">
        <is>
          <t>JÖNKÖPINGS LÄN</t>
        </is>
      </c>
      <c r="G208" t="inlineStr">
        <is>
          <t>ANEBY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45034</v>
      </c>
      <c r="E209" s="1" t="n">
        <v>46303</v>
      </c>
      <c r="F209" t="inlineStr">
        <is>
          <t>JÖNKÖPINGS LÄN</t>
        </is>
      </c>
      <c r="G209" t="inlineStr">
        <is>
          <t>ANEBY</t>
        </is>
      </c>
      <c r="H209" t="inlineStr">
        <is>
          <t>Kyrkan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46303</v>
      </c>
      <c r="F210" t="inlineStr">
        <is>
          <t>JÖNKÖPINGS LÄN</t>
        </is>
      </c>
      <c r="G210" t="inlineStr">
        <is>
          <t>ANEBY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44623</v>
      </c>
      <c r="E211" s="1" t="n">
        <v>46303</v>
      </c>
      <c r="F211" t="inlineStr">
        <is>
          <t>JÖNKÖPINGS LÄN</t>
        </is>
      </c>
      <c r="G211" t="inlineStr">
        <is>
          <t>ANEBY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46303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46303</v>
      </c>
      <c r="F213" t="inlineStr">
        <is>
          <t>JÖNKÖPINGS LÄN</t>
        </is>
      </c>
      <c r="G213" t="inlineStr">
        <is>
          <t>ANEBY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46303</v>
      </c>
      <c r="F214" t="inlineStr">
        <is>
          <t>JÖNKÖPINGS LÄN</t>
        </is>
      </c>
      <c r="G214" t="inlineStr">
        <is>
          <t>ANEBY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45404</v>
      </c>
      <c r="E215" s="1" t="n">
        <v>46303</v>
      </c>
      <c r="F215" t="inlineStr">
        <is>
          <t>JÖNKÖPINGS LÄN</t>
        </is>
      </c>
      <c r="G215" t="inlineStr">
        <is>
          <t>ANEBY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46303</v>
      </c>
      <c r="F216" t="inlineStr">
        <is>
          <t>JÖNKÖPINGS LÄN</t>
        </is>
      </c>
      <c r="G216" t="inlineStr">
        <is>
          <t>ANEBY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46303</v>
      </c>
      <c r="F217" t="inlineStr">
        <is>
          <t>JÖNKÖPINGS LÄN</t>
        </is>
      </c>
      <c r="G217" t="inlineStr">
        <is>
          <t>ANEBY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46303</v>
      </c>
      <c r="F218" t="inlineStr">
        <is>
          <t>JÖNKÖPINGS LÄN</t>
        </is>
      </c>
      <c r="G218" t="inlineStr">
        <is>
          <t>ANEBY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46303</v>
      </c>
      <c r="F219" t="inlineStr">
        <is>
          <t>JÖNKÖPINGS LÄN</t>
        </is>
      </c>
      <c r="G219" t="inlineStr">
        <is>
          <t>ANEBY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46303</v>
      </c>
      <c r="F220" t="inlineStr">
        <is>
          <t>JÖNKÖPINGS LÄN</t>
        </is>
      </c>
      <c r="G220" t="inlineStr">
        <is>
          <t>ANEBY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46303</v>
      </c>
      <c r="F221" t="inlineStr">
        <is>
          <t>JÖNKÖPINGS LÄN</t>
        </is>
      </c>
      <c r="G221" t="inlineStr">
        <is>
          <t>ANEBY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45468</v>
      </c>
      <c r="E222" s="1" t="n">
        <v>46303</v>
      </c>
      <c r="F222" t="inlineStr">
        <is>
          <t>JÖNKÖPINGS LÄN</t>
        </is>
      </c>
      <c r="G222" t="inlineStr">
        <is>
          <t>ANEBY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44700</v>
      </c>
      <c r="E223" s="1" t="n">
        <v>46303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46303</v>
      </c>
      <c r="F224" t="inlineStr">
        <is>
          <t>JÖNKÖPINGS LÄN</t>
        </is>
      </c>
      <c r="G224" t="inlineStr">
        <is>
          <t>ANEBY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46303</v>
      </c>
      <c r="F225" t="inlineStr">
        <is>
          <t>JÖNKÖPINGS LÄN</t>
        </is>
      </c>
      <c r="G225" t="inlineStr">
        <is>
          <t>ANEBY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46303</v>
      </c>
      <c r="F226" t="inlineStr">
        <is>
          <t>JÖNKÖPINGS LÄN</t>
        </is>
      </c>
      <c r="G226" t="inlineStr">
        <is>
          <t>ANEBY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46303</v>
      </c>
      <c r="F227" t="inlineStr">
        <is>
          <t>JÖNKÖPINGS LÄN</t>
        </is>
      </c>
      <c r="G227" t="inlineStr">
        <is>
          <t>ANEBY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46303</v>
      </c>
      <c r="F228" t="inlineStr">
        <is>
          <t>JÖNKÖPINGS LÄN</t>
        </is>
      </c>
      <c r="G228" t="inlineStr">
        <is>
          <t>ANEBY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44721</v>
      </c>
      <c r="E229" s="1" t="n">
        <v>46303</v>
      </c>
      <c r="F229" t="inlineStr">
        <is>
          <t>JÖNKÖPINGS LÄN</t>
        </is>
      </c>
      <c r="G229" t="inlineStr">
        <is>
          <t>ANEBY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46303</v>
      </c>
      <c r="F230" t="inlineStr">
        <is>
          <t>JÖNKÖPINGS LÄN</t>
        </is>
      </c>
      <c r="G230" t="inlineStr">
        <is>
          <t>ANEBY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46303</v>
      </c>
      <c r="F231" t="inlineStr">
        <is>
          <t>JÖNKÖPINGS LÄN</t>
        </is>
      </c>
      <c r="G231" t="inlineStr">
        <is>
          <t>ANEBY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46303</v>
      </c>
      <c r="F232" t="inlineStr">
        <is>
          <t>JÖNKÖPINGS LÄN</t>
        </is>
      </c>
      <c r="G232" t="inlineStr">
        <is>
          <t>ANEBY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45141</v>
      </c>
      <c r="E233" s="1" t="n">
        <v>46303</v>
      </c>
      <c r="F233" t="inlineStr">
        <is>
          <t>JÖNKÖPINGS LÄN</t>
        </is>
      </c>
      <c r="G233" t="inlineStr">
        <is>
          <t>ANEBY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46303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46303</v>
      </c>
      <c r="F235" t="inlineStr">
        <is>
          <t>JÖNKÖPINGS LÄN</t>
        </is>
      </c>
      <c r="G235" t="inlineStr">
        <is>
          <t>ANEBY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45552</v>
      </c>
      <c r="E236" s="1" t="n">
        <v>46303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46303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46303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45379</v>
      </c>
      <c r="E239" s="1" t="n">
        <v>46303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45184</v>
      </c>
      <c r="E240" s="1" t="n">
        <v>46303</v>
      </c>
      <c r="F240" t="inlineStr">
        <is>
          <t>JÖNKÖPINGS LÄN</t>
        </is>
      </c>
      <c r="G240" t="inlineStr">
        <is>
          <t>ANEBY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46303</v>
      </c>
      <c r="F241" t="inlineStr">
        <is>
          <t>JÖNKÖPINGS LÄN</t>
        </is>
      </c>
      <c r="G241" t="inlineStr">
        <is>
          <t>ANEBY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46020</v>
      </c>
      <c r="E242" s="1" t="n">
        <v>46303</v>
      </c>
      <c r="F242" t="inlineStr">
        <is>
          <t>JÖNKÖPINGS LÄN</t>
        </is>
      </c>
      <c r="G242" t="inlineStr">
        <is>
          <t>ANEBY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46021</v>
      </c>
      <c r="E243" s="1" t="n">
        <v>46303</v>
      </c>
      <c r="F243" t="inlineStr">
        <is>
          <t>JÖNKÖPINGS LÄN</t>
        </is>
      </c>
      <c r="G243" t="inlineStr">
        <is>
          <t>ANEBY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46303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45300</v>
      </c>
      <c r="E245" s="1" t="n">
        <v>46303</v>
      </c>
      <c r="F245" t="inlineStr">
        <is>
          <t>JÖNKÖPINGS LÄN</t>
        </is>
      </c>
      <c r="G245" t="inlineStr">
        <is>
          <t>ANEBY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46303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19362-2025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45769</v>
      </c>
      <c r="E247" s="1" t="n">
        <v>46303</v>
      </c>
      <c r="F247" t="inlineStr">
        <is>
          <t>JÖNKÖPINGS LÄN</t>
        </is>
      </c>
      <c r="G247" t="inlineStr">
        <is>
          <t>ANEBY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57174-2021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44482</v>
      </c>
      <c r="E248" s="1" t="n">
        <v>46303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46303</v>
      </c>
      <c r="F249" t="inlineStr">
        <is>
          <t>JÖNKÖPINGS LÄN</t>
        </is>
      </c>
      <c r="G249" t="inlineStr">
        <is>
          <t>ANEBY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46030</v>
      </c>
      <c r="E250" s="1" t="n">
        <v>46303</v>
      </c>
      <c r="F250" t="inlineStr">
        <is>
          <t>JÖNKÖPINGS LÄN</t>
        </is>
      </c>
      <c r="G250" t="inlineStr">
        <is>
          <t>ANEBY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23349-2023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45076</v>
      </c>
      <c r="E251" s="1" t="n">
        <v>46303</v>
      </c>
      <c r="F251" t="inlineStr">
        <is>
          <t>JÖNKÖPINGS LÄN</t>
        </is>
      </c>
      <c r="G251" t="inlineStr">
        <is>
          <t>ANEBY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46303</v>
      </c>
      <c r="F252" t="inlineStr">
        <is>
          <t>JÖNKÖPINGS LÄN</t>
        </is>
      </c>
      <c r="G252" t="inlineStr">
        <is>
          <t>ANEBY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45304</v>
      </c>
      <c r="E253" s="1" t="n">
        <v>46303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46303</v>
      </c>
      <c r="F254" t="inlineStr">
        <is>
          <t>JÖNKÖPINGS LÄN</t>
        </is>
      </c>
      <c r="G254" t="inlineStr">
        <is>
          <t>ANEBY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46303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45763</v>
      </c>
      <c r="E256" s="1" t="n">
        <v>46303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46303</v>
      </c>
      <c r="F257" t="inlineStr">
        <is>
          <t>JÖNKÖPINGS LÄN</t>
        </is>
      </c>
      <c r="G257" t="inlineStr">
        <is>
          <t>ANEBY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44847</v>
      </c>
      <c r="E258" s="1" t="n">
        <v>46303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46303</v>
      </c>
      <c r="F259" t="inlineStr">
        <is>
          <t>JÖNKÖPINGS LÄN</t>
        </is>
      </c>
      <c r="G259" t="inlineStr">
        <is>
          <t>ANEBY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57170-2021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44482</v>
      </c>
      <c r="E260" s="1" t="n">
        <v>46303</v>
      </c>
      <c r="F260" t="inlineStr">
        <is>
          <t>JÖNKÖPINGS LÄN</t>
        </is>
      </c>
      <c r="G260" t="inlineStr">
        <is>
          <t>ANEBY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46303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46303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46303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46303</v>
      </c>
      <c r="F264" t="inlineStr">
        <is>
          <t>JÖNKÖPINGS LÄN</t>
        </is>
      </c>
      <c r="G264" t="inlineStr">
        <is>
          <t>ANEBY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46303</v>
      </c>
      <c r="F265" t="inlineStr">
        <is>
          <t>JÖNKÖPINGS LÄN</t>
        </is>
      </c>
      <c r="G265" t="inlineStr">
        <is>
          <t>ANEBY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46303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46303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46303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46303</v>
      </c>
      <c r="F269" t="inlineStr">
        <is>
          <t>JÖNKÖPINGS LÄN</t>
        </is>
      </c>
      <c r="G269" t="inlineStr">
        <is>
          <t>ANEBY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21026-2024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45439</v>
      </c>
      <c r="E270" s="1" t="n">
        <v>46303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46303</v>
      </c>
      <c r="F271" t="inlineStr">
        <is>
          <t>JÖNKÖPINGS LÄN</t>
        </is>
      </c>
      <c r="G271" t="inlineStr">
        <is>
          <t>ANEBY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6827-2026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46057</v>
      </c>
      <c r="E272" s="1" t="n">
        <v>46303</v>
      </c>
      <c r="F272" t="inlineStr">
        <is>
          <t>JÖNKÖPINGS LÄN</t>
        </is>
      </c>
      <c r="G272" t="inlineStr">
        <is>
          <t>ANEBY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46303</v>
      </c>
      <c r="F273" t="inlineStr">
        <is>
          <t>JÖNKÖPINGS LÄN</t>
        </is>
      </c>
      <c r="G273" t="inlineStr">
        <is>
          <t>ANEBY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7263-2026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46058</v>
      </c>
      <c r="E274" s="1" t="n">
        <v>46303</v>
      </c>
      <c r="F274" t="inlineStr">
        <is>
          <t>JÖNKÖPINGS LÄN</t>
        </is>
      </c>
      <c r="G274" t="inlineStr">
        <is>
          <t>ANEBY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46303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46303</v>
      </c>
      <c r="F276" t="inlineStr">
        <is>
          <t>JÖNKÖPINGS LÄN</t>
        </is>
      </c>
      <c r="G276" t="inlineStr">
        <is>
          <t>ANEBY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46303</v>
      </c>
      <c r="F277" t="inlineStr">
        <is>
          <t>JÖNKÖPINGS LÄN</t>
        </is>
      </c>
      <c r="G277" t="inlineStr">
        <is>
          <t>ANEBY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46303</v>
      </c>
      <c r="F278" t="inlineStr">
        <is>
          <t>JÖNKÖPINGS LÄN</t>
        </is>
      </c>
      <c r="G278" t="inlineStr">
        <is>
          <t>ANEBY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46303</v>
      </c>
      <c r="F279" t="inlineStr">
        <is>
          <t>JÖNKÖPINGS LÄN</t>
        </is>
      </c>
      <c r="G279" t="inlineStr">
        <is>
          <t>ANEBY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7514-2026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46303</v>
      </c>
      <c r="F280" t="inlineStr">
        <is>
          <t>JÖNKÖPINGS LÄN</t>
        </is>
      </c>
      <c r="G280" t="inlineStr">
        <is>
          <t>ANEBY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67414-2021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44524</v>
      </c>
      <c r="E281" s="1" t="n">
        <v>46303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44565</v>
      </c>
      <c r="E282" s="1" t="n">
        <v>46303</v>
      </c>
      <c r="F282" t="inlineStr">
        <is>
          <t>JÖNKÖPINGS LÄN</t>
        </is>
      </c>
      <c r="G282" t="inlineStr">
        <is>
          <t>ANEBY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46303</v>
      </c>
      <c r="F283" t="inlineStr">
        <is>
          <t>JÖNKÖPINGS LÄN</t>
        </is>
      </c>
      <c r="G283" t="inlineStr">
        <is>
          <t>ANEBY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44985</v>
      </c>
      <c r="E284" s="1" t="n">
        <v>46303</v>
      </c>
      <c r="F284" t="inlineStr">
        <is>
          <t>JÖNKÖPINGS LÄN</t>
        </is>
      </c>
      <c r="G284" t="inlineStr">
        <is>
          <t>ANEBY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46303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46303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44952</v>
      </c>
      <c r="E287" s="1" t="n">
        <v>46303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46303</v>
      </c>
      <c r="F288" t="inlineStr">
        <is>
          <t>JÖNKÖPINGS LÄN</t>
        </is>
      </c>
      <c r="G288" t="inlineStr">
        <is>
          <t>ANEBY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46303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46196</v>
      </c>
      <c r="E290" s="1" t="n">
        <v>46303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44957</v>
      </c>
      <c r="E291" s="1" t="n">
        <v>46303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35773-2023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45148</v>
      </c>
      <c r="E292" s="1" t="n">
        <v>46303</v>
      </c>
      <c r="F292" t="inlineStr">
        <is>
          <t>JÖNKÖPINGS LÄN</t>
        </is>
      </c>
      <c r="G292" t="inlineStr">
        <is>
          <t>ANEBY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55688-2022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46303</v>
      </c>
      <c r="F293" t="inlineStr">
        <is>
          <t>JÖNKÖPINGS LÄN</t>
        </is>
      </c>
      <c r="G293" t="inlineStr">
        <is>
          <t>ANEBY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46303</v>
      </c>
      <c r="F294" t="inlineStr">
        <is>
          <t>JÖNKÖPINGS LÄN</t>
        </is>
      </c>
      <c r="G294" t="inlineStr">
        <is>
          <t>ANEBY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46303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45363</v>
      </c>
      <c r="E296" s="1" t="n">
        <v>46303</v>
      </c>
      <c r="F296" t="inlineStr">
        <is>
          <t>JÖNKÖPINGS LÄN</t>
        </is>
      </c>
      <c r="G296" t="inlineStr">
        <is>
          <t>ANEBY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46303</v>
      </c>
      <c r="F297" t="inlineStr">
        <is>
          <t>JÖNKÖPINGS LÄN</t>
        </is>
      </c>
      <c r="G297" t="inlineStr">
        <is>
          <t>ANEBY</t>
        </is>
      </c>
      <c r="I297" t="n">
        <v>13.8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46303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46303</v>
      </c>
      <c r="F299" t="inlineStr">
        <is>
          <t>JÖNKÖPINGS LÄN</t>
        </is>
      </c>
      <c r="G299" t="inlineStr">
        <is>
          <t>ANEBY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46303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45300</v>
      </c>
      <c r="E301" s="1" t="n">
        <v>46303</v>
      </c>
      <c r="F301" t="inlineStr">
        <is>
          <t>JÖNKÖPINGS LÄN</t>
        </is>
      </c>
      <c r="G301" t="inlineStr">
        <is>
          <t>ANEBY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46303</v>
      </c>
      <c r="F302" t="inlineStr">
        <is>
          <t>JÖNKÖPINGS LÄN</t>
        </is>
      </c>
      <c r="G302" t="inlineStr">
        <is>
          <t>ANEBY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46303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45539</v>
      </c>
      <c r="E304" s="1" t="n">
        <v>46303</v>
      </c>
      <c r="F304" t="inlineStr">
        <is>
          <t>JÖNKÖPINGS LÄN</t>
        </is>
      </c>
      <c r="G304" t="inlineStr">
        <is>
          <t>ANEBY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45372</v>
      </c>
      <c r="E305" s="1" t="n">
        <v>46303</v>
      </c>
      <c r="F305" t="inlineStr">
        <is>
          <t>JÖNKÖPINGS LÄN</t>
        </is>
      </c>
      <c r="G305" t="inlineStr">
        <is>
          <t>ANEBY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46303</v>
      </c>
      <c r="F306" t="inlineStr">
        <is>
          <t>JÖNKÖPINGS LÄN</t>
        </is>
      </c>
      <c r="G306" t="inlineStr">
        <is>
          <t>ANEBY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46303</v>
      </c>
      <c r="F307" t="inlineStr">
        <is>
          <t>JÖNKÖPINGS LÄN</t>
        </is>
      </c>
      <c r="G307" t="inlineStr">
        <is>
          <t>ANEBY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46303</v>
      </c>
      <c r="F308" t="inlineStr">
        <is>
          <t>JÖNKÖPINGS LÄN</t>
        </is>
      </c>
      <c r="G308" t="inlineStr">
        <is>
          <t>ANEBY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46303</v>
      </c>
      <c r="F309" t="inlineStr">
        <is>
          <t>JÖNKÖPINGS LÄN</t>
        </is>
      </c>
      <c r="G309" t="inlineStr">
        <is>
          <t>ANEBY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46104</v>
      </c>
      <c r="E310" s="1" t="n">
        <v>46303</v>
      </c>
      <c r="F310" t="inlineStr">
        <is>
          <t>JÖNKÖPINGS LÄN</t>
        </is>
      </c>
      <c r="G310" t="inlineStr">
        <is>
          <t>ANEBY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9917-2022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46303</v>
      </c>
      <c r="F311" t="inlineStr">
        <is>
          <t>JÖNKÖPINGS LÄN</t>
        </is>
      </c>
      <c r="G311" t="inlineStr">
        <is>
          <t>ANEBY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46303</v>
      </c>
      <c r="F312" t="inlineStr">
        <is>
          <t>JÖNKÖPINGS LÄN</t>
        </is>
      </c>
      <c r="G312" t="inlineStr">
        <is>
          <t>ANEBY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46214</v>
      </c>
      <c r="E313" s="1" t="n">
        <v>46303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46214</v>
      </c>
      <c r="E314" s="1" t="n">
        <v>46303</v>
      </c>
      <c r="F314" t="inlineStr">
        <is>
          <t>JÖNKÖPINGS LÄN</t>
        </is>
      </c>
      <c r="G314" t="inlineStr">
        <is>
          <t>ANEBY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46214</v>
      </c>
      <c r="E315" s="1" t="n">
        <v>46303</v>
      </c>
      <c r="F315" t="inlineStr">
        <is>
          <t>JÖNKÖPINGS LÄN</t>
        </is>
      </c>
      <c r="G315" t="inlineStr">
        <is>
          <t>ANEBY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46303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46125</v>
      </c>
      <c r="E317" s="1" t="n">
        <v>46303</v>
      </c>
      <c r="F317" t="inlineStr">
        <is>
          <t>JÖNKÖPINGS LÄN</t>
        </is>
      </c>
      <c r="G317" t="inlineStr">
        <is>
          <t>ANEBY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46303</v>
      </c>
      <c r="F318" t="inlineStr">
        <is>
          <t>JÖNKÖPINGS LÄN</t>
        </is>
      </c>
      <c r="G318" t="inlineStr">
        <is>
          <t>ANEBY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44981</v>
      </c>
      <c r="E319" s="1" t="n">
        <v>46303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46303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46303</v>
      </c>
      <c r="F321" t="inlineStr">
        <is>
          <t>JÖNKÖPINGS LÄN</t>
        </is>
      </c>
      <c r="G321" t="inlineStr">
        <is>
          <t>ANEBY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35668-2026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46265</v>
      </c>
      <c r="E322" s="1" t="n">
        <v>46303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46303</v>
      </c>
      <c r="F323" t="inlineStr">
        <is>
          <t>JÖNKÖPINGS LÄN</t>
        </is>
      </c>
      <c r="G323" t="inlineStr">
        <is>
          <t>ANEBY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46224</v>
      </c>
      <c r="E324" s="1" t="n">
        <v>46303</v>
      </c>
      <c r="F324" t="inlineStr">
        <is>
          <t>JÖNKÖPINGS LÄN</t>
        </is>
      </c>
      <c r="G324" t="inlineStr">
        <is>
          <t>ANEBY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46303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46303</v>
      </c>
      <c r="F326" t="inlineStr">
        <is>
          <t>JÖNKÖPINGS LÄN</t>
        </is>
      </c>
      <c r="G326" t="inlineStr">
        <is>
          <t>ANEBY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45363</v>
      </c>
      <c r="E327" s="1" t="n">
        <v>46303</v>
      </c>
      <c r="F327" t="inlineStr">
        <is>
          <t>JÖNKÖPINGS LÄN</t>
        </is>
      </c>
      <c r="G327" t="inlineStr">
        <is>
          <t>ANEBY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46303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46303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46303</v>
      </c>
      <c r="F330" t="inlineStr">
        <is>
          <t>JÖNKÖPINGS LÄN</t>
        </is>
      </c>
      <c r="G330" t="inlineStr">
        <is>
          <t>ANEBY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46303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45033</v>
      </c>
      <c r="E332" s="1" t="n">
        <v>46303</v>
      </c>
      <c r="F332" t="inlineStr">
        <is>
          <t>JÖNKÖPINGS LÄN</t>
        </is>
      </c>
      <c r="G332" t="inlineStr">
        <is>
          <t>ANEBY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46303</v>
      </c>
      <c r="F333" t="inlineStr">
        <is>
          <t>JÖNKÖPINGS LÄN</t>
        </is>
      </c>
      <c r="G333" t="inlineStr">
        <is>
          <t>ANEBY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46303</v>
      </c>
      <c r="F334" t="inlineStr">
        <is>
          <t>JÖNKÖPINGS LÄN</t>
        </is>
      </c>
      <c r="G334" t="inlineStr">
        <is>
          <t>ANEBY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46303</v>
      </c>
      <c r="F335" t="inlineStr">
        <is>
          <t>JÖNKÖPINGS LÄN</t>
        </is>
      </c>
      <c r="G335" t="inlineStr">
        <is>
          <t>ANEBY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46303</v>
      </c>
      <c r="F336" t="inlineStr">
        <is>
          <t>JÖNKÖPINGS LÄN</t>
        </is>
      </c>
      <c r="G336" t="inlineStr">
        <is>
          <t>ANEBY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16679-2024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46303</v>
      </c>
      <c r="F337" t="inlineStr">
        <is>
          <t>JÖNKÖPINGS LÄN</t>
        </is>
      </c>
      <c r="G337" t="inlineStr">
        <is>
          <t>ANEBY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46303</v>
      </c>
      <c r="F338" t="inlineStr">
        <is>
          <t>JÖNKÖPINGS LÄN</t>
        </is>
      </c>
      <c r="G338" t="inlineStr">
        <is>
          <t>ANEBY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46303</v>
      </c>
      <c r="F339" t="inlineStr">
        <is>
          <t>JÖNKÖPINGS LÄN</t>
        </is>
      </c>
      <c r="G339" t="inlineStr">
        <is>
          <t>ANEBY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45077</v>
      </c>
      <c r="E340" s="1" t="n">
        <v>46303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46283</v>
      </c>
      <c r="E341" s="1" t="n">
        <v>46303</v>
      </c>
      <c r="F341" t="inlineStr">
        <is>
          <t>JÖNKÖPINGS LÄN</t>
        </is>
      </c>
      <c r="G341" t="inlineStr">
        <is>
          <t>ANEBY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38902-2026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46303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46286</v>
      </c>
      <c r="E343" s="1" t="n">
        <v>46303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46294</v>
      </c>
      <c r="E344" s="1" t="n">
        <v>46303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46254</v>
      </c>
      <c r="E345" s="1" t="n">
        <v>46303</v>
      </c>
      <c r="F345" t="inlineStr">
        <is>
          <t>JÖNKÖPINGS LÄN</t>
        </is>
      </c>
      <c r="G345" t="inlineStr">
        <is>
          <t>ANEBY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46303</v>
      </c>
      <c r="F346" t="inlineStr">
        <is>
          <t>JÖNKÖPINGS LÄN</t>
        </is>
      </c>
      <c r="G346" t="inlineStr">
        <is>
          <t>ANEBY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46303</v>
      </c>
      <c r="F347" t="inlineStr">
        <is>
          <t>JÖNKÖPINGS LÄN</t>
        </is>
      </c>
      <c r="G347" t="inlineStr">
        <is>
          <t>ANEBY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34850-2026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46255</v>
      </c>
      <c r="E348" s="1" t="n">
        <v>46303</v>
      </c>
      <c r="F348" t="inlineStr">
        <is>
          <t>JÖNKÖPINGS LÄN</t>
        </is>
      </c>
      <c r="G348" t="inlineStr">
        <is>
          <t>ANEBY</t>
        </is>
      </c>
      <c r="H348" t="inlineStr">
        <is>
          <t>Övriga Aktiebolag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46302</v>
      </c>
      <c r="E349" s="1" t="n">
        <v>46303</v>
      </c>
      <c r="F349" t="inlineStr">
        <is>
          <t>JÖNKÖPINGS LÄN</t>
        </is>
      </c>
      <c r="G349" t="inlineStr">
        <is>
          <t>ANEBY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46302</v>
      </c>
      <c r="E350" s="1" t="n">
        <v>46303</v>
      </c>
      <c r="F350" t="inlineStr">
        <is>
          <t>JÖNKÖPINGS LÄN</t>
        </is>
      </c>
      <c r="G350" t="inlineStr">
        <is>
          <t>ANEBY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46302</v>
      </c>
      <c r="E351" s="1" t="n">
        <v>46303</v>
      </c>
      <c r="F351" t="inlineStr">
        <is>
          <t>JÖNKÖPINGS LÄN</t>
        </is>
      </c>
      <c r="G351" t="inlineStr">
        <is>
          <t>ANEBY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805-2022</t>
        </is>
      </c>
      <c r="B352" t="inlineStr">
        <is>
          <t>samrådsanmälan</t>
        </is>
      </c>
      <c r="C352" t="inlineStr">
        <is>
          <t>Skogsbilväg</t>
        </is>
      </c>
      <c r="D352" s="1" t="n">
        <v>44603</v>
      </c>
      <c r="E352" s="1" t="n">
        <v>46303</v>
      </c>
      <c r="F352" t="inlineStr">
        <is>
          <t>JÖNKÖPINGS LÄN</t>
        </is>
      </c>
      <c r="G352" t="inlineStr">
        <is>
          <t>ANEBY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5767-2022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44848</v>
      </c>
      <c r="E353" s="1" t="n">
        <v>46303</v>
      </c>
      <c r="F353" t="inlineStr">
        <is>
          <t>JÖNKÖPINGS LÄN</t>
        </is>
      </c>
      <c r="G353" t="inlineStr">
        <is>
          <t>ANEBY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46303</v>
      </c>
      <c r="F354" t="inlineStr">
        <is>
          <t>JÖNKÖPINGS LÄN</t>
        </is>
      </c>
      <c r="G354" t="inlineStr">
        <is>
          <t>ANEBY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1677-2023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45063</v>
      </c>
      <c r="E355" s="1" t="n">
        <v>46303</v>
      </c>
      <c r="F355" t="inlineStr">
        <is>
          <t>JÖNKÖPINGS LÄN</t>
        </is>
      </c>
      <c r="G355" t="inlineStr">
        <is>
          <t>ANEBY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3586-2024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45546</v>
      </c>
      <c r="E356" s="1" t="n">
        <v>46303</v>
      </c>
      <c r="F356" t="inlineStr">
        <is>
          <t>JÖNKÖPINGS LÄN</t>
        </is>
      </c>
      <c r="G356" t="inlineStr">
        <is>
          <t>ANEBY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6631-2022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46303</v>
      </c>
      <c r="F357" t="inlineStr">
        <is>
          <t>JÖNKÖPINGS LÄN</t>
        </is>
      </c>
      <c r="G357" t="inlineStr">
        <is>
          <t>ANEBY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1729-2023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45069</v>
      </c>
      <c r="E358" s="1" t="n">
        <v>46303</v>
      </c>
      <c r="F358" t="inlineStr">
        <is>
          <t>JÖNKÖPINGS LÄN</t>
        </is>
      </c>
      <c r="G358" t="inlineStr">
        <is>
          <t>ANEBY</t>
        </is>
      </c>
      <c r="I358" t="n">
        <v>16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2550-2023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45135</v>
      </c>
      <c r="E359" s="1" t="n">
        <v>46303</v>
      </c>
      <c r="F359" t="inlineStr">
        <is>
          <t>JÖNKÖPINGS LÄN</t>
        </is>
      </c>
      <c r="G359" t="inlineStr">
        <is>
          <t>ANEBY</t>
        </is>
      </c>
      <c r="I359" t="n">
        <v>58.3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6634-2022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46303</v>
      </c>
      <c r="F360" t="inlineStr">
        <is>
          <t>JÖNKÖPINGS LÄN</t>
        </is>
      </c>
      <c r="G360" t="inlineStr">
        <is>
          <t>ANEBY</t>
        </is>
      </c>
      <c r="I360" t="n">
        <v>34.3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6623-2022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44886</v>
      </c>
      <c r="E361" s="1" t="n">
        <v>46303</v>
      </c>
      <c r="F361" t="inlineStr">
        <is>
          <t>JÖNKÖPINGS LÄN</t>
        </is>
      </c>
      <c r="G361" t="inlineStr">
        <is>
          <t>ANEBY</t>
        </is>
      </c>
      <c r="I361" t="n">
        <v>13.8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469-2025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45702</v>
      </c>
      <c r="E362" s="1" t="n">
        <v>46303</v>
      </c>
      <c r="F362" t="inlineStr">
        <is>
          <t>JÖNKÖPINGS LÄN</t>
        </is>
      </c>
      <c r="G362" t="inlineStr">
        <is>
          <t>ANEBY</t>
        </is>
      </c>
      <c r="I362" t="n">
        <v>22.8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20-2026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46029</v>
      </c>
      <c r="E363" s="1" t="n">
        <v>46303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1152-2026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46135</v>
      </c>
      <c r="E364" s="1" t="n">
        <v>46303</v>
      </c>
      <c r="F364" t="inlineStr">
        <is>
          <t>JÖNKÖPINGS LÄN</t>
        </is>
      </c>
      <c r="G364" t="inlineStr">
        <is>
          <t>ANEBY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2026-10-08T02:05:48Z</dcterms:created>
  <dcterms:modified xmlns:dcterms="http://purl.org/dc/terms/" xmlns:xsi="http://www.w3.org/2001/XMLSchema-instance" xsi:type="dcterms:W3CDTF">2026-10-08T02:05:49Z</dcterms:modified>
</cp:coreProperties>
</file>