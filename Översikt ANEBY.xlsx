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46262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46262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46262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46262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46262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46262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46262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28452-2022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46262</v>
      </c>
      <c r="F27" t="inlineStr">
        <is>
          <t>JÖNKÖPINGS LÄN</t>
        </is>
      </c>
      <c r="G27" t="inlineStr">
        <is>
          <t>ANEBY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Odontocerum albicorne</t>
        </is>
      </c>
      <c r="W27">
        <f>HYPERLINK("https://klasma.github.io/Logging_0604/artfynd/A 28452-2022 artfynd.xlsx", "A 28452-2022")</f>
        <v/>
      </c>
      <c r="X27">
        <f>HYPERLINK("https://klasma.github.io/Logging_0604/kartor/A 28452-2022 karta.png", "A 28452-2022")</f>
        <v/>
      </c>
      <c r="Y27">
        <f>HYPERLINK("https://klasma.github.io/Logging_0604/kartor_geotiff/A 28452-2022 georefererad karta.tif", "A 28452-2022")</f>
        <v/>
      </c>
      <c r="AA27">
        <f>HYPERLINK("https://klasma.github.io/Logging_0604/klagomål/A 28452-2022 FSC-klagomål.docx", "A 28452-2022")</f>
        <v/>
      </c>
      <c r="AB27">
        <f>HYPERLINK("https://klasma.github.io/Logging_0604/klagomålsmail/A 28452-2022 FSC-klagomål mail.docx", "A 28452-2022")</f>
        <v/>
      </c>
      <c r="AC27">
        <f>HYPERLINK("https://klasma.github.io/Logging_0604/tillsyn/A 28452-2022 tillsynsbegäran.docx", "A 28452-2022")</f>
        <v/>
      </c>
      <c r="AD27">
        <f>HYPERLINK("https://klasma.github.io/Logging_0604/tillsynsmail/A 28452-2022 tillsynsbegäran mail.docx", "A 28452-2022")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46262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46262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46262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46262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46262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46262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46262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46262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46262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46262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46262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46262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46262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46262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46262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46262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46262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46262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46262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46262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46262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46262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46262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46262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46262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46262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46262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46262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46262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46262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46262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46262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46262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46262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46262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46262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46262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46262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46262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46262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46262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46262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46262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46262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46262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45698</v>
      </c>
      <c r="E87" s="1" t="n">
        <v>46262</v>
      </c>
      <c r="F87" t="inlineStr">
        <is>
          <t>JÖNKÖPINGS LÄN</t>
        </is>
      </c>
      <c r="G87" t="inlineStr">
        <is>
          <t>ANEBY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46262</v>
      </c>
      <c r="F88" t="inlineStr">
        <is>
          <t>JÖNKÖPINGS LÄN</t>
        </is>
      </c>
      <c r="G88" t="inlineStr">
        <is>
          <t>ANEBY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46262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46262</v>
      </c>
      <c r="F90" t="inlineStr">
        <is>
          <t>JÖNKÖPINGS LÄN</t>
        </is>
      </c>
      <c r="G90" t="inlineStr">
        <is>
          <t>ANEBY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46262</v>
      </c>
      <c r="F91" t="inlineStr">
        <is>
          <t>JÖNKÖPINGS LÄN</t>
        </is>
      </c>
      <c r="G91" t="inlineStr">
        <is>
          <t>ANEBY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46095-2022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46262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45365</v>
      </c>
      <c r="E93" s="1" t="n">
        <v>46262</v>
      </c>
      <c r="F93" t="inlineStr">
        <is>
          <t>JÖNKÖPINGS LÄN</t>
        </is>
      </c>
      <c r="G93" t="inlineStr">
        <is>
          <t>ANEBY</t>
        </is>
      </c>
      <c r="H93" t="inlineStr">
        <is>
          <t>Sveaskog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46262</v>
      </c>
      <c r="F94" t="inlineStr">
        <is>
          <t>JÖNKÖPINGS LÄN</t>
        </is>
      </c>
      <c r="G94" t="inlineStr">
        <is>
          <t>ANEBY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46262</v>
      </c>
      <c r="F95" t="inlineStr">
        <is>
          <t>JÖNKÖPINGS LÄN</t>
        </is>
      </c>
      <c r="G95" t="inlineStr">
        <is>
          <t>ANEBY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46262</v>
      </c>
      <c r="F96" t="inlineStr">
        <is>
          <t>JÖNKÖPINGS LÄN</t>
        </is>
      </c>
      <c r="G96" t="inlineStr">
        <is>
          <t>ANEBY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45398</v>
      </c>
      <c r="E97" s="1" t="n">
        <v>46262</v>
      </c>
      <c r="F97" t="inlineStr">
        <is>
          <t>JÖNKÖPINGS LÄN</t>
        </is>
      </c>
      <c r="G97" t="inlineStr">
        <is>
          <t>ANEBY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46262</v>
      </c>
      <c r="F98" t="inlineStr">
        <is>
          <t>JÖNKÖPINGS LÄN</t>
        </is>
      </c>
      <c r="G98" t="inlineStr">
        <is>
          <t>ANEBY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46262</v>
      </c>
      <c r="F99" t="inlineStr">
        <is>
          <t>JÖNKÖPINGS LÄN</t>
        </is>
      </c>
      <c r="G99" t="inlineStr">
        <is>
          <t>ANEBY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46262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49427-2023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45205</v>
      </c>
      <c r="E101" s="1" t="n">
        <v>46262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46262</v>
      </c>
      <c r="F102" t="inlineStr">
        <is>
          <t>JÖNKÖPINGS LÄN</t>
        </is>
      </c>
      <c r="G102" t="inlineStr">
        <is>
          <t>ANEBY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46262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46262</v>
      </c>
      <c r="F104" t="inlineStr">
        <is>
          <t>JÖNKÖPINGS LÄN</t>
        </is>
      </c>
      <c r="G104" t="inlineStr">
        <is>
          <t>ANEBY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46262</v>
      </c>
      <c r="F105" t="inlineStr">
        <is>
          <t>JÖNKÖPINGS LÄN</t>
        </is>
      </c>
      <c r="G105" t="inlineStr">
        <is>
          <t>ANEBY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46262</v>
      </c>
      <c r="F106" t="inlineStr">
        <is>
          <t>JÖNKÖPINGS LÄN</t>
        </is>
      </c>
      <c r="G106" t="inlineStr">
        <is>
          <t>ANEBY</t>
        </is>
      </c>
      <c r="I106" t="n">
        <v>10.1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46262</v>
      </c>
      <c r="F107" t="inlineStr">
        <is>
          <t>JÖNKÖPINGS LÄN</t>
        </is>
      </c>
      <c r="G107" t="inlineStr">
        <is>
          <t>ANEBY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46262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46262</v>
      </c>
      <c r="F109" t="inlineStr">
        <is>
          <t>JÖNKÖPINGS LÄN</t>
        </is>
      </c>
      <c r="G109" t="inlineStr">
        <is>
          <t>ANEBY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46262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35555-2024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46262</v>
      </c>
      <c r="F111" t="inlineStr">
        <is>
          <t>JÖNKÖPINGS LÄN</t>
        </is>
      </c>
      <c r="G111" t="inlineStr">
        <is>
          <t>ANEBY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46262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703-2024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46262</v>
      </c>
      <c r="F113" t="inlineStr">
        <is>
          <t>JÖNKÖPINGS LÄN</t>
        </is>
      </c>
      <c r="G113" t="inlineStr">
        <is>
          <t>ANEBY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11565-2025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45727</v>
      </c>
      <c r="E114" s="1" t="n">
        <v>46262</v>
      </c>
      <c r="F114" t="inlineStr">
        <is>
          <t>JÖNKÖPINGS LÄN</t>
        </is>
      </c>
      <c r="G114" t="inlineStr">
        <is>
          <t>ANEBY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45653</v>
      </c>
      <c r="E115" s="1" t="n">
        <v>46262</v>
      </c>
      <c r="F115" t="inlineStr">
        <is>
          <t>JÖNKÖPINGS LÄN</t>
        </is>
      </c>
      <c r="G115" t="inlineStr">
        <is>
          <t>ANEBY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46262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46262</v>
      </c>
      <c r="F117" t="inlineStr">
        <is>
          <t>JÖNKÖPINGS LÄN</t>
        </is>
      </c>
      <c r="G117" t="inlineStr">
        <is>
          <t>ANEBY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46262</v>
      </c>
      <c r="F118" t="inlineStr">
        <is>
          <t>JÖNKÖPINGS LÄN</t>
        </is>
      </c>
      <c r="G118" t="inlineStr">
        <is>
          <t>ANEBY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46262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45951</v>
      </c>
      <c r="E120" s="1" t="n">
        <v>46262</v>
      </c>
      <c r="F120" t="inlineStr">
        <is>
          <t>JÖNKÖPINGS LÄN</t>
        </is>
      </c>
      <c r="G120" t="inlineStr">
        <is>
          <t>ANEBY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45141</v>
      </c>
      <c r="E121" s="1" t="n">
        <v>46262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45967</v>
      </c>
      <c r="E122" s="1" t="n">
        <v>46262</v>
      </c>
      <c r="F122" t="inlineStr">
        <is>
          <t>JÖNKÖPINGS LÄN</t>
        </is>
      </c>
      <c r="G122" t="inlineStr">
        <is>
          <t>ANEBY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45967</v>
      </c>
      <c r="E123" s="1" t="n">
        <v>46262</v>
      </c>
      <c r="F123" t="inlineStr">
        <is>
          <t>JÖNKÖPINGS LÄN</t>
        </is>
      </c>
      <c r="G123" t="inlineStr">
        <is>
          <t>ANEBY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45978</v>
      </c>
      <c r="E124" s="1" t="n">
        <v>46262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19.6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46262</v>
      </c>
      <c r="F125" t="inlineStr">
        <is>
          <t>JÖNKÖPINGS LÄN</t>
        </is>
      </c>
      <c r="G125" t="inlineStr">
        <is>
          <t>ANEBY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46262</v>
      </c>
      <c r="F126" t="inlineStr">
        <is>
          <t>JÖNKÖPINGS LÄN</t>
        </is>
      </c>
      <c r="G126" t="inlineStr">
        <is>
          <t>ANEBY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45980</v>
      </c>
      <c r="E127" s="1" t="n">
        <v>46262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46262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46262</v>
      </c>
      <c r="F129" t="inlineStr">
        <is>
          <t>JÖNKÖPINGS LÄN</t>
        </is>
      </c>
      <c r="G129" t="inlineStr">
        <is>
          <t>ANEBY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46262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46262</v>
      </c>
      <c r="F131" t="inlineStr">
        <is>
          <t>JÖNKÖPINGS LÄN</t>
        </is>
      </c>
      <c r="G131" t="inlineStr">
        <is>
          <t>ANEBY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46262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46262</v>
      </c>
      <c r="F133" t="inlineStr">
        <is>
          <t>JÖNKÖPINGS LÄN</t>
        </is>
      </c>
      <c r="G133" t="inlineStr">
        <is>
          <t>ANEBY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46262</v>
      </c>
      <c r="F134" t="inlineStr">
        <is>
          <t>JÖNKÖPINGS LÄN</t>
        </is>
      </c>
      <c r="G134" t="inlineStr">
        <is>
          <t>ANEBY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46262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16.8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43528-2025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45911</v>
      </c>
      <c r="E136" s="1" t="n">
        <v>46262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46262</v>
      </c>
      <c r="F137" t="inlineStr">
        <is>
          <t>JÖNKÖPINGS LÄN</t>
        </is>
      </c>
      <c r="G137" t="inlineStr">
        <is>
          <t>ANEBY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46262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46262</v>
      </c>
      <c r="F139" t="inlineStr">
        <is>
          <t>JÖNKÖPINGS LÄN</t>
        </is>
      </c>
      <c r="G139" t="inlineStr">
        <is>
          <t>ANEBY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45300</v>
      </c>
      <c r="E140" s="1" t="n">
        <v>46262</v>
      </c>
      <c r="F140" t="inlineStr">
        <is>
          <t>JÖNKÖPINGS LÄN</t>
        </is>
      </c>
      <c r="G140" t="inlineStr">
        <is>
          <t>ANEBY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46262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46262</v>
      </c>
      <c r="F142" t="inlineStr">
        <is>
          <t>JÖNKÖPINGS LÄN</t>
        </is>
      </c>
      <c r="G142" t="inlineStr">
        <is>
          <t>ANEBY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45183</v>
      </c>
      <c r="E143" s="1" t="n">
        <v>46262</v>
      </c>
      <c r="F143" t="inlineStr">
        <is>
          <t>JÖNKÖPINGS LÄN</t>
        </is>
      </c>
      <c r="G143" t="inlineStr">
        <is>
          <t>ANEBY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46262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45304</v>
      </c>
      <c r="E145" s="1" t="n">
        <v>46262</v>
      </c>
      <c r="F145" t="inlineStr">
        <is>
          <t>JÖNKÖPINGS LÄN</t>
        </is>
      </c>
      <c r="G145" t="inlineStr">
        <is>
          <t>ANEBY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46262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27714-2024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45475</v>
      </c>
      <c r="E147" s="1" t="n">
        <v>46262</v>
      </c>
      <c r="F147" t="inlineStr">
        <is>
          <t>JÖNKÖPINGS LÄN</t>
        </is>
      </c>
      <c r="G147" t="inlineStr">
        <is>
          <t>ANEBY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46262</v>
      </c>
      <c r="F148" t="inlineStr">
        <is>
          <t>JÖNKÖPINGS LÄN</t>
        </is>
      </c>
      <c r="G148" t="inlineStr">
        <is>
          <t>ANEBY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46262</v>
      </c>
      <c r="F149" t="inlineStr">
        <is>
          <t>JÖNKÖPINGS LÄN</t>
        </is>
      </c>
      <c r="G149" t="inlineStr">
        <is>
          <t>ANEBY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46262</v>
      </c>
      <c r="F150" t="inlineStr">
        <is>
          <t>JÖNKÖPINGS LÄN</t>
        </is>
      </c>
      <c r="G150" t="inlineStr">
        <is>
          <t>ANEBY</t>
        </is>
      </c>
      <c r="H150" t="inlineStr">
        <is>
          <t>Övriga Aktiebolag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49133-2022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44860</v>
      </c>
      <c r="E151" s="1" t="n">
        <v>46262</v>
      </c>
      <c r="F151" t="inlineStr">
        <is>
          <t>JÖNKÖPINGS LÄN</t>
        </is>
      </c>
      <c r="G151" t="inlineStr">
        <is>
          <t>ANEBY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46262</v>
      </c>
      <c r="F152" t="inlineStr">
        <is>
          <t>JÖNKÖPINGS LÄN</t>
        </is>
      </c>
      <c r="G152" t="inlineStr">
        <is>
          <t>ANEBY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46262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45020</v>
      </c>
      <c r="E154" s="1" t="n">
        <v>46262</v>
      </c>
      <c r="F154" t="inlineStr">
        <is>
          <t>JÖNKÖPINGS LÄN</t>
        </is>
      </c>
      <c r="G154" t="inlineStr">
        <is>
          <t>ANEBY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46262</v>
      </c>
      <c r="F155" t="inlineStr">
        <is>
          <t>JÖNKÖPINGS LÄN</t>
        </is>
      </c>
      <c r="G155" t="inlineStr">
        <is>
          <t>ANEBY</t>
        </is>
      </c>
      <c r="H155" t="inlineStr">
        <is>
          <t>Sveaskog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46262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46262</v>
      </c>
      <c r="F157" t="inlineStr">
        <is>
          <t>JÖNKÖPINGS LÄN</t>
        </is>
      </c>
      <c r="G157" t="inlineStr">
        <is>
          <t>ANEBY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46262</v>
      </c>
      <c r="F158" t="inlineStr">
        <is>
          <t>JÖNKÖPINGS LÄN</t>
        </is>
      </c>
      <c r="G158" t="inlineStr">
        <is>
          <t>ANEBY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46262</v>
      </c>
      <c r="F159" t="inlineStr">
        <is>
          <t>JÖNKÖPINGS LÄN</t>
        </is>
      </c>
      <c r="G159" t="inlineStr">
        <is>
          <t>ANEBY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46262</v>
      </c>
      <c r="F160" t="inlineStr">
        <is>
          <t>JÖNKÖPINGS LÄN</t>
        </is>
      </c>
      <c r="G160" t="inlineStr">
        <is>
          <t>ANEBY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46262</v>
      </c>
      <c r="F161" t="inlineStr">
        <is>
          <t>JÖNKÖPINGS LÄN</t>
        </is>
      </c>
      <c r="G161" t="inlineStr">
        <is>
          <t>ANEBY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45086</v>
      </c>
      <c r="E162" s="1" t="n">
        <v>46262</v>
      </c>
      <c r="F162" t="inlineStr">
        <is>
          <t>JÖNKÖPINGS LÄN</t>
        </is>
      </c>
      <c r="G162" t="inlineStr">
        <is>
          <t>ANEBY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46262</v>
      </c>
      <c r="F163" t="inlineStr">
        <is>
          <t>JÖNKÖPINGS LÄN</t>
        </is>
      </c>
      <c r="G163" t="inlineStr">
        <is>
          <t>ANEBY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46006</v>
      </c>
      <c r="E164" s="1" t="n">
        <v>46262</v>
      </c>
      <c r="F164" t="inlineStr">
        <is>
          <t>JÖNKÖPINGS LÄN</t>
        </is>
      </c>
      <c r="G164" t="inlineStr">
        <is>
          <t>ANEBY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45124</v>
      </c>
      <c r="E165" s="1" t="n">
        <v>46262</v>
      </c>
      <c r="F165" t="inlineStr">
        <is>
          <t>JÖNKÖPINGS LÄN</t>
        </is>
      </c>
      <c r="G165" t="inlineStr">
        <is>
          <t>ANEBY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57170-2021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46262</v>
      </c>
      <c r="F166" t="inlineStr">
        <is>
          <t>JÖNKÖPINGS LÄN</t>
        </is>
      </c>
      <c r="G166" t="inlineStr">
        <is>
          <t>ANEBY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35773-2023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45148</v>
      </c>
      <c r="E167" s="1" t="n">
        <v>46262</v>
      </c>
      <c r="F167" t="inlineStr">
        <is>
          <t>JÖNKÖPINGS LÄN</t>
        </is>
      </c>
      <c r="G167" t="inlineStr">
        <is>
          <t>ANEBY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56735-2021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46262</v>
      </c>
      <c r="F168" t="inlineStr">
        <is>
          <t>JÖNKÖPINGS LÄN</t>
        </is>
      </c>
      <c r="G168" t="inlineStr">
        <is>
          <t>ANEBY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46262</v>
      </c>
      <c r="F169" t="inlineStr">
        <is>
          <t>JÖNKÖPINGS LÄN</t>
        </is>
      </c>
      <c r="G169" t="inlineStr">
        <is>
          <t>ANEBY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46262</v>
      </c>
      <c r="F170" t="inlineStr">
        <is>
          <t>JÖNKÖPINGS LÄN</t>
        </is>
      </c>
      <c r="G170" t="inlineStr">
        <is>
          <t>ANEBY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46262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46262</v>
      </c>
      <c r="F172" t="inlineStr">
        <is>
          <t>JÖNKÖPINGS LÄN</t>
        </is>
      </c>
      <c r="G172" t="inlineStr">
        <is>
          <t>ANEBY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46262</v>
      </c>
      <c r="F173" t="inlineStr">
        <is>
          <t>JÖNKÖPINGS LÄN</t>
        </is>
      </c>
      <c r="G173" t="inlineStr">
        <is>
          <t>ANEBY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46262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46262</v>
      </c>
      <c r="F175" t="inlineStr">
        <is>
          <t>JÖNKÖPINGS LÄN</t>
        </is>
      </c>
      <c r="G175" t="inlineStr">
        <is>
          <t>ANEBY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46262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46262</v>
      </c>
      <c r="F177" t="inlineStr">
        <is>
          <t>JÖNKÖPINGS LÄN</t>
        </is>
      </c>
      <c r="G177" t="inlineStr">
        <is>
          <t>ANEBY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46262</v>
      </c>
      <c r="F178" t="inlineStr">
        <is>
          <t>JÖNKÖPINGS LÄN</t>
        </is>
      </c>
      <c r="G178" t="inlineStr">
        <is>
          <t>ANEBY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46262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46262</v>
      </c>
      <c r="F180" t="inlineStr">
        <is>
          <t>JÖNKÖPINGS LÄN</t>
        </is>
      </c>
      <c r="G180" t="inlineStr">
        <is>
          <t>ANEBY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46262</v>
      </c>
      <c r="F181" t="inlineStr">
        <is>
          <t>JÖNKÖPINGS LÄN</t>
        </is>
      </c>
      <c r="G181" t="inlineStr">
        <is>
          <t>ANEBY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21026-2024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45439</v>
      </c>
      <c r="E182" s="1" t="n">
        <v>46262</v>
      </c>
      <c r="F182" t="inlineStr">
        <is>
          <t>JÖNKÖPINGS LÄN</t>
        </is>
      </c>
      <c r="G182" t="inlineStr">
        <is>
          <t>ANEBY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45552</v>
      </c>
      <c r="E183" s="1" t="n">
        <v>46262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46056</v>
      </c>
      <c r="E184" s="1" t="n">
        <v>46262</v>
      </c>
      <c r="F184" t="inlineStr">
        <is>
          <t>JÖNKÖPINGS LÄN</t>
        </is>
      </c>
      <c r="G184" t="inlineStr">
        <is>
          <t>ANEBY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6827-2026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46057</v>
      </c>
      <c r="E185" s="1" t="n">
        <v>46262</v>
      </c>
      <c r="F185" t="inlineStr">
        <is>
          <t>JÖNKÖPINGS LÄN</t>
        </is>
      </c>
      <c r="G185" t="inlineStr">
        <is>
          <t>ANEBY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46262</v>
      </c>
      <c r="F186" t="inlineStr">
        <is>
          <t>JÖNKÖPINGS LÄN</t>
        </is>
      </c>
      <c r="G186" t="inlineStr">
        <is>
          <t>ANEBY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46057</v>
      </c>
      <c r="E187" s="1" t="n">
        <v>46262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46262</v>
      </c>
      <c r="F188" t="inlineStr">
        <is>
          <t>JÖNKÖPINGS LÄN</t>
        </is>
      </c>
      <c r="G188" t="inlineStr">
        <is>
          <t>ANEBY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46262</v>
      </c>
      <c r="F189" t="inlineStr">
        <is>
          <t>JÖNKÖPINGS LÄN</t>
        </is>
      </c>
      <c r="G189" t="inlineStr">
        <is>
          <t>ANEBY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7263-2026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46058</v>
      </c>
      <c r="E190" s="1" t="n">
        <v>46262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46262</v>
      </c>
      <c r="F191" t="inlineStr">
        <is>
          <t>JÖNKÖPINGS LÄN</t>
        </is>
      </c>
      <c r="G191" t="inlineStr">
        <is>
          <t>ANEBY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46262</v>
      </c>
      <c r="F192" t="inlineStr">
        <is>
          <t>JÖNKÖPINGS LÄN</t>
        </is>
      </c>
      <c r="G192" t="inlineStr">
        <is>
          <t>ANEBY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46262</v>
      </c>
      <c r="F193" t="inlineStr">
        <is>
          <t>JÖNKÖPINGS LÄN</t>
        </is>
      </c>
      <c r="G193" t="inlineStr">
        <is>
          <t>ANEBY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44477</v>
      </c>
      <c r="E194" s="1" t="n">
        <v>46262</v>
      </c>
      <c r="F194" t="inlineStr">
        <is>
          <t>JÖNKÖPINGS LÄN</t>
        </is>
      </c>
      <c r="G194" t="inlineStr">
        <is>
          <t>ANEBY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46262</v>
      </c>
      <c r="F195" t="inlineStr">
        <is>
          <t>JÖNKÖPINGS LÄN</t>
        </is>
      </c>
      <c r="G195" t="inlineStr">
        <is>
          <t>ANEBY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46262</v>
      </c>
      <c r="F196" t="inlineStr">
        <is>
          <t>JÖNKÖPINGS LÄN</t>
        </is>
      </c>
      <c r="G196" t="inlineStr">
        <is>
          <t>ANEBY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46073</v>
      </c>
      <c r="E197" s="1" t="n">
        <v>46262</v>
      </c>
      <c r="F197" t="inlineStr">
        <is>
          <t>JÖNKÖPINGS LÄN</t>
        </is>
      </c>
      <c r="G197" t="inlineStr">
        <is>
          <t>ANEBY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44606</v>
      </c>
      <c r="E198" s="1" t="n">
        <v>46262</v>
      </c>
      <c r="F198" t="inlineStr">
        <is>
          <t>JÖNKÖPINGS LÄN</t>
        </is>
      </c>
      <c r="G198" t="inlineStr">
        <is>
          <t>ANEBY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46262</v>
      </c>
      <c r="F199" t="inlineStr">
        <is>
          <t>JÖNKÖPINGS LÄN</t>
        </is>
      </c>
      <c r="G199" t="inlineStr">
        <is>
          <t>ANEBY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46262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12714-2023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46262</v>
      </c>
      <c r="F201" t="inlineStr">
        <is>
          <t>JÖNKÖPINGS LÄN</t>
        </is>
      </c>
      <c r="G201" t="inlineStr">
        <is>
          <t>ANEBY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46262</v>
      </c>
      <c r="F202" t="inlineStr">
        <is>
          <t>JÖNKÖPINGS LÄN</t>
        </is>
      </c>
      <c r="G202" t="inlineStr">
        <is>
          <t>ANEBY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46262</v>
      </c>
      <c r="F203" t="inlineStr">
        <is>
          <t>JÖNKÖPINGS LÄN</t>
        </is>
      </c>
      <c r="G203" t="inlineStr">
        <is>
          <t>ANEBY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45454</v>
      </c>
      <c r="E204" s="1" t="n">
        <v>46262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44705</v>
      </c>
      <c r="E205" s="1" t="n">
        <v>46262</v>
      </c>
      <c r="F205" t="inlineStr">
        <is>
          <t>JÖNKÖPINGS LÄN</t>
        </is>
      </c>
      <c r="G205" t="inlineStr">
        <is>
          <t>ANEBY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46262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46262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46098</v>
      </c>
      <c r="E208" s="1" t="n">
        <v>46262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46262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46262</v>
      </c>
      <c r="F210" t="inlineStr">
        <is>
          <t>JÖNKÖPINGS LÄN</t>
        </is>
      </c>
      <c r="G210" t="inlineStr">
        <is>
          <t>ANEBY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46262</v>
      </c>
      <c r="F211" t="inlineStr">
        <is>
          <t>JÖNKÖPINGS LÄN</t>
        </is>
      </c>
      <c r="G211" t="inlineStr">
        <is>
          <t>ANEBY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46262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46262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46262</v>
      </c>
      <c r="F214" t="inlineStr">
        <is>
          <t>JÖNKÖPINGS LÄN</t>
        </is>
      </c>
      <c r="G214" t="inlineStr">
        <is>
          <t>ANEBY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46262</v>
      </c>
      <c r="F215" t="inlineStr">
        <is>
          <t>JÖNKÖPINGS LÄN</t>
        </is>
      </c>
      <c r="G215" t="inlineStr">
        <is>
          <t>ANEBY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46262</v>
      </c>
      <c r="F216" t="inlineStr">
        <is>
          <t>JÖNKÖPINGS LÄN</t>
        </is>
      </c>
      <c r="G216" t="inlineStr">
        <is>
          <t>ANEBY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46262</v>
      </c>
      <c r="F217" t="inlineStr">
        <is>
          <t>JÖNKÖPINGS LÄN</t>
        </is>
      </c>
      <c r="G217" t="inlineStr">
        <is>
          <t>ANEBY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46262</v>
      </c>
      <c r="F218" t="inlineStr">
        <is>
          <t>JÖNKÖPINGS LÄN</t>
        </is>
      </c>
      <c r="G218" t="inlineStr">
        <is>
          <t>ANEBY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44739</v>
      </c>
      <c r="E219" s="1" t="n">
        <v>46262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46262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46262</v>
      </c>
      <c r="F221" t="inlineStr">
        <is>
          <t>JÖNKÖPINGS LÄN</t>
        </is>
      </c>
      <c r="G221" t="inlineStr">
        <is>
          <t>ANEBY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46262</v>
      </c>
      <c r="F222" t="inlineStr">
        <is>
          <t>JÖNKÖPINGS LÄN</t>
        </is>
      </c>
      <c r="G222" t="inlineStr">
        <is>
          <t>ANEBY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46262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46262</v>
      </c>
      <c r="F224" t="inlineStr">
        <is>
          <t>JÖNKÖPINGS LÄN</t>
        </is>
      </c>
      <c r="G224" t="inlineStr">
        <is>
          <t>ANEBY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46262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44952</v>
      </c>
      <c r="E226" s="1" t="n">
        <v>46262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46262</v>
      </c>
      <c r="F227" t="inlineStr">
        <is>
          <t>JÖNKÖPINGS LÄN</t>
        </is>
      </c>
      <c r="G227" t="inlineStr">
        <is>
          <t>ANEBY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73166-2021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44550</v>
      </c>
      <c r="E228" s="1" t="n">
        <v>46262</v>
      </c>
      <c r="F228" t="inlineStr">
        <is>
          <t>JÖNKÖPINGS LÄN</t>
        </is>
      </c>
      <c r="G228" t="inlineStr">
        <is>
          <t>ANEBY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46262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46262</v>
      </c>
      <c r="F230" t="inlineStr">
        <is>
          <t>JÖNKÖPINGS LÄN</t>
        </is>
      </c>
      <c r="G230" t="inlineStr">
        <is>
          <t>ANEBY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44623</v>
      </c>
      <c r="E231" s="1" t="n">
        <v>46262</v>
      </c>
      <c r="F231" t="inlineStr">
        <is>
          <t>JÖNKÖPINGS LÄN</t>
        </is>
      </c>
      <c r="G231" t="inlineStr">
        <is>
          <t>ANEBY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23349-2023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45076</v>
      </c>
      <c r="E232" s="1" t="n">
        <v>46262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46262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46262</v>
      </c>
      <c r="F234" t="inlineStr">
        <is>
          <t>JÖNKÖPINGS LÄN</t>
        </is>
      </c>
      <c r="G234" t="inlineStr">
        <is>
          <t>ANEBY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46262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  <c r="Z235">
        <f>HYPERLINK("https://klasma.github.io/Logging_0604/knärot/A 25963-2024 karta knärot.png", "A 25963-2024")</f>
        <v/>
      </c>
      <c r="AA235">
        <f>HYPERLINK("https://klasma.github.io/Logging_0604/klagomål/A 25963-2024 FSC-klagomål.docx", "A 25963-2024")</f>
        <v/>
      </c>
      <c r="AB235">
        <f>HYPERLINK("https://klasma.github.io/Logging_0604/klagomålsmail/A 25963-2024 FSC-klagomål mail.docx", "A 25963-2024")</f>
        <v/>
      </c>
      <c r="AC235">
        <f>HYPERLINK("https://klasma.github.io/Logging_0604/tillsyn/A 25963-2024 tillsynsbegäran.docx", "A 25963-2024")</f>
        <v/>
      </c>
      <c r="AD235">
        <f>HYPERLINK("https://klasma.github.io/Logging_0604/tillsynsmail/A 25963-2024 tillsynsbegäran mail.docx", "A 25963-2024")</f>
        <v/>
      </c>
    </row>
    <row r="236" ht="15" customHeight="1">
      <c r="A236" t="inlineStr">
        <is>
          <t>A 21812-2023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46262</v>
      </c>
      <c r="F236" t="inlineStr">
        <is>
          <t>JÖNKÖPINGS LÄN</t>
        </is>
      </c>
      <c r="G236" t="inlineStr">
        <is>
          <t>ANEBY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46262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46262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46262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46262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45610</v>
      </c>
      <c r="E241" s="1" t="n">
        <v>46262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44721</v>
      </c>
      <c r="E242" s="1" t="n">
        <v>46262</v>
      </c>
      <c r="F242" t="inlineStr">
        <is>
          <t>JÖNKÖPINGS LÄN</t>
        </is>
      </c>
      <c r="G242" t="inlineStr">
        <is>
          <t>ANEBY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54213-2024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45616</v>
      </c>
      <c r="E243" s="1" t="n">
        <v>46262</v>
      </c>
      <c r="F243" t="inlineStr">
        <is>
          <t>JÖNKÖPINGS LÄN</t>
        </is>
      </c>
      <c r="G243" t="inlineStr">
        <is>
          <t>ANEBY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46262</v>
      </c>
      <c r="F244" t="inlineStr">
        <is>
          <t>JÖNKÖPINGS LÄN</t>
        </is>
      </c>
      <c r="G244" t="inlineStr">
        <is>
          <t>ANEBY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46262</v>
      </c>
      <c r="F245" t="inlineStr">
        <is>
          <t>JÖNKÖPINGS LÄN</t>
        </is>
      </c>
      <c r="G245" t="inlineStr">
        <is>
          <t>ANEBY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46262</v>
      </c>
      <c r="F246" t="inlineStr">
        <is>
          <t>JÖNKÖPINGS LÄN</t>
        </is>
      </c>
      <c r="G246" t="inlineStr">
        <is>
          <t>ANEBY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46262</v>
      </c>
      <c r="F247" t="inlineStr">
        <is>
          <t>JÖNKÖPINGS LÄN</t>
        </is>
      </c>
      <c r="G247" t="inlineStr">
        <is>
          <t>ANEBY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46262</v>
      </c>
      <c r="F248" t="inlineStr">
        <is>
          <t>JÖNKÖPINGS LÄN</t>
        </is>
      </c>
      <c r="G248" t="inlineStr">
        <is>
          <t>ANEBY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43613-2023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45184</v>
      </c>
      <c r="E249" s="1" t="n">
        <v>46262</v>
      </c>
      <c r="F249" t="inlineStr">
        <is>
          <t>JÖNKÖPINGS LÄN</t>
        </is>
      </c>
      <c r="G249" t="inlineStr">
        <is>
          <t>ANEBY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12477-2023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44999</v>
      </c>
      <c r="E250" s="1" t="n">
        <v>46262</v>
      </c>
      <c r="F250" t="inlineStr">
        <is>
          <t>JÖNKÖPINGS LÄN</t>
        </is>
      </c>
      <c r="G250" t="inlineStr">
        <is>
          <t>ANEBY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46262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45665</v>
      </c>
      <c r="E252" s="1" t="n">
        <v>46262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44957</v>
      </c>
      <c r="E253" s="1" t="n">
        <v>46262</v>
      </c>
      <c r="F253" t="inlineStr">
        <is>
          <t>JÖNKÖPINGS LÄN</t>
        </is>
      </c>
      <c r="G253" t="inlineStr">
        <is>
          <t>ANEBY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46262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21356-2026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46147</v>
      </c>
      <c r="E255" s="1" t="n">
        <v>46262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46262</v>
      </c>
      <c r="F256" t="inlineStr">
        <is>
          <t>JÖNKÖPINGS LÄN</t>
        </is>
      </c>
      <c r="G256" t="inlineStr">
        <is>
          <t>ANEBY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45304</v>
      </c>
      <c r="E257" s="1" t="n">
        <v>46262</v>
      </c>
      <c r="F257" t="inlineStr">
        <is>
          <t>JÖNKÖPINGS LÄN</t>
        </is>
      </c>
      <c r="G257" t="inlineStr">
        <is>
          <t>ANEBY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44578</v>
      </c>
      <c r="E258" s="1" t="n">
        <v>46262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45468</v>
      </c>
      <c r="E259" s="1" t="n">
        <v>46262</v>
      </c>
      <c r="F259" t="inlineStr">
        <is>
          <t>JÖNKÖPINGS LÄN</t>
        </is>
      </c>
      <c r="G259" t="inlineStr">
        <is>
          <t>ANEBY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46262</v>
      </c>
      <c r="F260" t="inlineStr">
        <is>
          <t>JÖNKÖPINGS LÄN</t>
        </is>
      </c>
      <c r="G260" t="inlineStr">
        <is>
          <t>ANEBY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46262</v>
      </c>
      <c r="F261" t="inlineStr">
        <is>
          <t>JÖNKÖPINGS LÄN</t>
        </is>
      </c>
      <c r="G261" t="inlineStr">
        <is>
          <t>ANEBY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46262</v>
      </c>
      <c r="F262" t="inlineStr">
        <is>
          <t>JÖNKÖPINGS LÄN</t>
        </is>
      </c>
      <c r="G262" t="inlineStr">
        <is>
          <t>ANEBY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10155-2024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45364</v>
      </c>
      <c r="E263" s="1" t="n">
        <v>46262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46262</v>
      </c>
      <c r="F264" t="inlineStr">
        <is>
          <t>JÖNKÖPINGS LÄN</t>
        </is>
      </c>
      <c r="G264" t="inlineStr">
        <is>
          <t>ANEBY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46262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46262</v>
      </c>
      <c r="F266" t="inlineStr">
        <is>
          <t>JÖNKÖPINGS LÄN</t>
        </is>
      </c>
      <c r="G266" t="inlineStr">
        <is>
          <t>ANEBY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46262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44851</v>
      </c>
      <c r="E268" s="1" t="n">
        <v>46262</v>
      </c>
      <c r="F268" t="inlineStr">
        <is>
          <t>JÖNKÖPINGS LÄN</t>
        </is>
      </c>
      <c r="G268" t="inlineStr">
        <is>
          <t>ANEBY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46262</v>
      </c>
      <c r="F269" t="inlineStr">
        <is>
          <t>JÖNKÖPINGS LÄN</t>
        </is>
      </c>
      <c r="G269" t="inlineStr">
        <is>
          <t>ANEBY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46262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44620</v>
      </c>
      <c r="E271" s="1" t="n">
        <v>46262</v>
      </c>
      <c r="F271" t="inlineStr">
        <is>
          <t>JÖNKÖPINGS LÄN</t>
        </is>
      </c>
      <c r="G271" t="inlineStr">
        <is>
          <t>ANEBY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10456-2023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44981</v>
      </c>
      <c r="E272" s="1" t="n">
        <v>46262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46262</v>
      </c>
      <c r="F273" t="inlineStr">
        <is>
          <t>JÖNKÖPINGS LÄN</t>
        </is>
      </c>
      <c r="G273" t="inlineStr">
        <is>
          <t>ANEBY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46262</v>
      </c>
      <c r="F274" t="inlineStr">
        <is>
          <t>JÖNKÖPINGS LÄN</t>
        </is>
      </c>
      <c r="G274" t="inlineStr">
        <is>
          <t>ANEBY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46262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51185-2021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44461</v>
      </c>
      <c r="E276" s="1" t="n">
        <v>46262</v>
      </c>
      <c r="F276" t="inlineStr">
        <is>
          <t>JÖNKÖPINGS LÄN</t>
        </is>
      </c>
      <c r="G276" t="inlineStr">
        <is>
          <t>ANEBY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46262</v>
      </c>
      <c r="F277" t="inlineStr">
        <is>
          <t>JÖNKÖPINGS LÄN</t>
        </is>
      </c>
      <c r="G277" t="inlineStr">
        <is>
          <t>ANEBY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46262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44671</v>
      </c>
      <c r="E279" s="1" t="n">
        <v>46262</v>
      </c>
      <c r="F279" t="inlineStr">
        <is>
          <t>JÖNKÖPINGS LÄN</t>
        </is>
      </c>
      <c r="G279" t="inlineStr">
        <is>
          <t>ANEBY</t>
        </is>
      </c>
      <c r="H279" t="inlineStr">
        <is>
          <t>Kyrkan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46262</v>
      </c>
      <c r="F280" t="inlineStr">
        <is>
          <t>JÖNKÖPINGS LÄN</t>
        </is>
      </c>
      <c r="G280" t="inlineStr">
        <is>
          <t>ANEBY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46262</v>
      </c>
      <c r="F281" t="inlineStr">
        <is>
          <t>JÖNKÖPINGS LÄN</t>
        </is>
      </c>
      <c r="G281" t="inlineStr">
        <is>
          <t>ANEBY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46262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46262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46262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46262</v>
      </c>
      <c r="F285" t="inlineStr">
        <is>
          <t>JÖNKÖPINGS LÄN</t>
        </is>
      </c>
      <c r="G285" t="inlineStr">
        <is>
          <t>ANEBY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46262</v>
      </c>
      <c r="F286" t="inlineStr">
        <is>
          <t>JÖNKÖPINGS LÄN</t>
        </is>
      </c>
      <c r="G286" t="inlineStr">
        <is>
          <t>ANEBY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46262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45034</v>
      </c>
      <c r="E288" s="1" t="n">
        <v>46262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46262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46262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46262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67414-2021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44524</v>
      </c>
      <c r="E292" s="1" t="n">
        <v>46262</v>
      </c>
      <c r="F292" t="inlineStr">
        <is>
          <t>JÖNKÖPINGS LÄN</t>
        </is>
      </c>
      <c r="G292" t="inlineStr">
        <is>
          <t>ANEBY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46262</v>
      </c>
      <c r="F293" t="inlineStr">
        <is>
          <t>JÖNKÖPINGS LÄN</t>
        </is>
      </c>
      <c r="G293" t="inlineStr">
        <is>
          <t>ANEBY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46262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46224</v>
      </c>
      <c r="E295" s="1" t="n">
        <v>46262</v>
      </c>
      <c r="F295" t="inlineStr">
        <is>
          <t>JÖNKÖPINGS LÄN</t>
        </is>
      </c>
      <c r="G295" t="inlineStr">
        <is>
          <t>ANEBY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46262</v>
      </c>
      <c r="F296" t="inlineStr">
        <is>
          <t>JÖNKÖPINGS LÄN</t>
        </is>
      </c>
      <c r="G296" t="inlineStr">
        <is>
          <t>ANEBY</t>
        </is>
      </c>
      <c r="I296" t="n">
        <v>17.9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59507-2022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44900</v>
      </c>
      <c r="E297" s="1" t="n">
        <v>46262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46262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45076</v>
      </c>
      <c r="E299" s="1" t="n">
        <v>46262</v>
      </c>
      <c r="F299" t="inlineStr">
        <is>
          <t>JÖNKÖPINGS LÄN</t>
        </is>
      </c>
      <c r="G299" t="inlineStr">
        <is>
          <t>ANEBY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46262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46262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45156</v>
      </c>
      <c r="E302" s="1" t="n">
        <v>46262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46262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45077</v>
      </c>
      <c r="E304" s="1" t="n">
        <v>46262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46262</v>
      </c>
      <c r="F305" t="inlineStr">
        <is>
          <t>JÖNKÖPINGS LÄN</t>
        </is>
      </c>
      <c r="G305" t="inlineStr">
        <is>
          <t>ANEBY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45161</v>
      </c>
      <c r="E306" s="1" t="n">
        <v>46262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46262</v>
      </c>
      <c r="F307" t="inlineStr">
        <is>
          <t>JÖNKÖPINGS LÄN</t>
        </is>
      </c>
      <c r="G307" t="inlineStr">
        <is>
          <t>ANEBY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46262</v>
      </c>
      <c r="F308" t="inlineStr">
        <is>
          <t>JÖNKÖPINGS LÄN</t>
        </is>
      </c>
      <c r="G308" t="inlineStr">
        <is>
          <t>ANEBY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46262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46262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46262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46262</v>
      </c>
      <c r="F312" t="inlineStr">
        <is>
          <t>JÖNKÖPINGS LÄN</t>
        </is>
      </c>
      <c r="G312" t="inlineStr">
        <is>
          <t>ANEBY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46262</v>
      </c>
      <c r="F313" t="inlineStr">
        <is>
          <t>JÖNKÖPINGS LÄN</t>
        </is>
      </c>
      <c r="G313" t="inlineStr">
        <is>
          <t>ANEBY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46262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46262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46262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46262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46262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46262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46262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46262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46262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46262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46262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46262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46262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46262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46262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46262</v>
      </c>
      <c r="F329" t="inlineStr">
        <is>
          <t>JÖNKÖPINGS LÄN</t>
        </is>
      </c>
      <c r="G329" t="inlineStr">
        <is>
          <t>ANEBY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46262</v>
      </c>
      <c r="F330" t="inlineStr">
        <is>
          <t>JÖNKÖPINGS LÄN</t>
        </is>
      </c>
      <c r="G330" t="inlineStr">
        <is>
          <t>ANEBY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46262</v>
      </c>
      <c r="F331" t="inlineStr">
        <is>
          <t>JÖNKÖPINGS LÄN</t>
        </is>
      </c>
      <c r="G331" t="inlineStr">
        <is>
          <t>ANEBY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50069-2024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45600</v>
      </c>
      <c r="E332" s="1" t="n">
        <v>46262</v>
      </c>
      <c r="F332" t="inlineStr">
        <is>
          <t>JÖNKÖPINGS LÄN</t>
        </is>
      </c>
      <c r="G332" t="inlineStr">
        <is>
          <t>ANEBY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46262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44565</v>
      </c>
      <c r="E334" s="1" t="n">
        <v>46262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46262</v>
      </c>
      <c r="F335" t="inlineStr">
        <is>
          <t>JÖNKÖPINGS LÄN</t>
        </is>
      </c>
      <c r="G335" t="inlineStr">
        <is>
          <t>ANEBY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45775</v>
      </c>
      <c r="E336" s="1" t="n">
        <v>46262</v>
      </c>
      <c r="F336" t="inlineStr">
        <is>
          <t>JÖNKÖPINGS LÄN</t>
        </is>
      </c>
      <c r="G336" t="inlineStr">
        <is>
          <t>ANEBY</t>
        </is>
      </c>
      <c r="H336" t="inlineStr">
        <is>
          <t>Kyrkan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46262</v>
      </c>
      <c r="F337" t="inlineStr">
        <is>
          <t>JÖNKÖPINGS LÄN</t>
        </is>
      </c>
      <c r="G337" t="inlineStr">
        <is>
          <t>ANEBY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46214</v>
      </c>
      <c r="E338" s="1" t="n">
        <v>46262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46262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46262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34850-2026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46255</v>
      </c>
      <c r="E341" s="1" t="n">
        <v>46262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46262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46262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46262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46262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46262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46262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46262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46262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46262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46262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46262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46262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46262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46262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46262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2026-08-28T01:48:07Z</dcterms:created>
  <dcterms:modified xmlns:dcterms="http://purl.org/dc/terms/" xmlns:xsi="http://www.w3.org/2001/XMLSchema-instance" xsi:type="dcterms:W3CDTF">2026-08-28T01:48:07Z</dcterms:modified>
</cp:coreProperties>
</file>