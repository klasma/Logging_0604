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46260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46260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46260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46260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46260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46260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46260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46260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46260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46260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46260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46260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46260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46260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46260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46260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46260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46260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46260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46260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46260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46260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46260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46260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46260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38338-2023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46260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HYPERLINK("https://klasma.github.io/Logging_0604/artfynd/A 38338-2023 artfynd.xlsx", "A 38338-2023")</f>
        <v/>
      </c>
      <c r="X40">
        <f>HYPERLINK("https://klasma.github.io/Logging_0604/kartor/A 38338-2023 karta.png", "A 38338-2023")</f>
        <v/>
      </c>
      <c r="Y40">
        <f>HYPERLINK("https://klasma.github.io/Logging_0604/kartor_geotiff/A 38338-2023 georefererad karta.tif", "A 38338-2023")</f>
        <v/>
      </c>
      <c r="AA40">
        <f>HYPERLINK("https://klasma.github.io/Logging_0604/klagomål/A 38338-2023 FSC-klagomål.docx", "A 38338-2023")</f>
        <v/>
      </c>
      <c r="AB40">
        <f>HYPERLINK("https://klasma.github.io/Logging_0604/klagomålsmail/A 38338-2023 FSC-klagomål mail.docx", "A 38338-2023")</f>
        <v/>
      </c>
      <c r="AC40">
        <f>HYPERLINK("https://klasma.github.io/Logging_0604/tillsyn/A 38338-2023 tillsynsbegäran.docx", "A 38338-2023")</f>
        <v/>
      </c>
      <c r="AD40">
        <f>HYPERLINK("https://klasma.github.io/Logging_0604/tillsynsmail/A 38338-2023 tillsynsbegäran mail.docx", "A 38338-2023")</f>
        <v/>
      </c>
    </row>
    <row r="41" ht="15" customHeight="1">
      <c r="A41" t="inlineStr">
        <is>
          <t>A 53251-2023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45229</v>
      </c>
      <c r="E41" s="1" t="n">
        <v>46260</v>
      </c>
      <c r="F41" t="inlineStr">
        <is>
          <t>JÖNKÖPINGS LÄN</t>
        </is>
      </c>
      <c r="G41" t="inlineStr">
        <is>
          <t>ANEBY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HYPERLINK("https://klasma.github.io/Logging_0604/artfynd/A 53251-2023 artfynd.xlsx", "A 53251-2023")</f>
        <v/>
      </c>
      <c r="X41">
        <f>HYPERLINK("https://klasma.github.io/Logging_0604/kartor/A 53251-2023 karta.png", "A 53251-2023")</f>
        <v/>
      </c>
      <c r="Y41">
        <f>HYPERLINK("https://klasma.github.io/Logging_0604/kartor_geotiff/A 53251-2023 georefererad karta.tif", "A 53251-2023")</f>
        <v/>
      </c>
      <c r="AA41">
        <f>HYPERLINK("https://klasma.github.io/Logging_0604/klagomål/A 53251-2023 FSC-klagomål.docx", "A 53251-2023")</f>
        <v/>
      </c>
      <c r="AB41">
        <f>HYPERLINK("https://klasma.github.io/Logging_0604/klagomålsmail/A 53251-2023 FSC-klagomål mail.docx", "A 53251-2023")</f>
        <v/>
      </c>
      <c r="AC41">
        <f>HYPERLINK("https://klasma.github.io/Logging_0604/tillsyn/A 53251-2023 tillsynsbegäran.docx", "A 53251-2023")</f>
        <v/>
      </c>
      <c r="AD41">
        <f>HYPERLINK("https://klasma.github.io/Logging_0604/tillsynsmail/A 53251-2023 tillsynsbegäran mail.docx", "A 53251-2023")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46260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46260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46260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46260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46260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46260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46260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46260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46260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46260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46260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46260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46260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46260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46260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46260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46260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46260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46260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46260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46260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46260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46260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46260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46260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46260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46260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46260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46260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46260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46260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46260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46260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46260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46260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46260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46260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46260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46260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45182</v>
      </c>
      <c r="E83" s="1" t="n">
        <v>46260</v>
      </c>
      <c r="F83" t="inlineStr">
        <is>
          <t>JÖNKÖPINGS LÄN</t>
        </is>
      </c>
      <c r="G83" t="inlineStr">
        <is>
          <t>ANEBY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46260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46260</v>
      </c>
      <c r="F85" t="inlineStr">
        <is>
          <t>JÖNKÖPINGS LÄN</t>
        </is>
      </c>
      <c r="G85" t="inlineStr">
        <is>
          <t>ANEBY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46260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46260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46260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46260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46260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46260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46260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46260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46260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46260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46260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46260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46260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46260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46260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46260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24901-2024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45461</v>
      </c>
      <c r="E102" s="1" t="n">
        <v>46260</v>
      </c>
      <c r="F102" t="inlineStr">
        <is>
          <t>JÖNKÖPINGS LÄN</t>
        </is>
      </c>
      <c r="G102" t="inlineStr">
        <is>
          <t>ANEBY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46260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46260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46260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46260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45304</v>
      </c>
      <c r="E107" s="1" t="n">
        <v>46260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46260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45183</v>
      </c>
      <c r="E109" s="1" t="n">
        <v>46260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27714-2024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45475</v>
      </c>
      <c r="E110" s="1" t="n">
        <v>46260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46260</v>
      </c>
      <c r="F111" t="inlineStr">
        <is>
          <t>JÖNKÖPINGS LÄN</t>
        </is>
      </c>
      <c r="G111" t="inlineStr">
        <is>
          <t>ANEBY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46260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46260</v>
      </c>
      <c r="F113" t="inlineStr">
        <is>
          <t>JÖNKÖPINGS LÄN</t>
        </is>
      </c>
      <c r="G113" t="inlineStr">
        <is>
          <t>ANEBY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45553</v>
      </c>
      <c r="E114" s="1" t="n">
        <v>46260</v>
      </c>
      <c r="F114" t="inlineStr">
        <is>
          <t>JÖNKÖPINGS LÄN</t>
        </is>
      </c>
      <c r="G114" t="inlineStr">
        <is>
          <t>ANEBY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46260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46260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44860</v>
      </c>
      <c r="E117" s="1" t="n">
        <v>46260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52267-2024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46260</v>
      </c>
      <c r="F118" t="inlineStr">
        <is>
          <t>JÖNKÖPINGS LÄN</t>
        </is>
      </c>
      <c r="G118" t="inlineStr">
        <is>
          <t>ANEBY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39441-2025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46260</v>
      </c>
      <c r="F119" t="inlineStr">
        <is>
          <t>JÖNKÖPINGS LÄN</t>
        </is>
      </c>
      <c r="G119" t="inlineStr">
        <is>
          <t>ANEBY</t>
        </is>
      </c>
      <c r="I119" t="n">
        <v>10.1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46260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46260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46260</v>
      </c>
      <c r="F122" t="inlineStr">
        <is>
          <t>JÖNKÖPINGS LÄN</t>
        </is>
      </c>
      <c r="G122" t="inlineStr">
        <is>
          <t>ANEBY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46260</v>
      </c>
      <c r="F123" t="inlineStr">
        <is>
          <t>JÖNKÖPINGS LÄN</t>
        </is>
      </c>
      <c r="G123" t="inlineStr">
        <is>
          <t>ANEBY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46260</v>
      </c>
      <c r="F124" t="inlineStr">
        <is>
          <t>JÖNKÖPINGS LÄN</t>
        </is>
      </c>
      <c r="G124" t="inlineStr">
        <is>
          <t>ANEBY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46260</v>
      </c>
      <c r="F125" t="inlineStr">
        <is>
          <t>JÖNKÖPINGS LÄN</t>
        </is>
      </c>
      <c r="G125" t="inlineStr">
        <is>
          <t>ANEBY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21026-2024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45439</v>
      </c>
      <c r="E126" s="1" t="n">
        <v>46260</v>
      </c>
      <c r="F126" t="inlineStr">
        <is>
          <t>JÖNKÖPINGS LÄN</t>
        </is>
      </c>
      <c r="G126" t="inlineStr">
        <is>
          <t>ANEBY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45358</v>
      </c>
      <c r="E127" s="1" t="n">
        <v>46260</v>
      </c>
      <c r="F127" t="inlineStr">
        <is>
          <t>JÖNKÖPINGS LÄN</t>
        </is>
      </c>
      <c r="G127" t="inlineStr">
        <is>
          <t>ANEBY</t>
        </is>
      </c>
      <c r="H127" t="inlineStr">
        <is>
          <t>Sveaskog</t>
        </is>
      </c>
      <c r="I127" t="n">
        <v>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45330</v>
      </c>
      <c r="E128" s="1" t="n">
        <v>46260</v>
      </c>
      <c r="F128" t="inlineStr">
        <is>
          <t>JÖNKÖPINGS LÄN</t>
        </is>
      </c>
      <c r="G128" t="inlineStr">
        <is>
          <t>ANEBY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46260</v>
      </c>
      <c r="F129" t="inlineStr">
        <is>
          <t>JÖNKÖPINGS LÄN</t>
        </is>
      </c>
      <c r="G129" t="inlineStr">
        <is>
          <t>ANEBY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6827-2026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46057</v>
      </c>
      <c r="E130" s="1" t="n">
        <v>46260</v>
      </c>
      <c r="F130" t="inlineStr">
        <is>
          <t>JÖNKÖPINGS LÄN</t>
        </is>
      </c>
      <c r="G130" t="inlineStr">
        <is>
          <t>ANEBY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46260</v>
      </c>
      <c r="F131" t="inlineStr">
        <is>
          <t>JÖNKÖPINGS LÄN</t>
        </is>
      </c>
      <c r="G131" t="inlineStr">
        <is>
          <t>ANEBY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46260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46057</v>
      </c>
      <c r="E133" s="1" t="n">
        <v>46260</v>
      </c>
      <c r="F133" t="inlineStr">
        <is>
          <t>JÖNKÖPINGS LÄN</t>
        </is>
      </c>
      <c r="G133" t="inlineStr">
        <is>
          <t>ANEBY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7263-2026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46058</v>
      </c>
      <c r="E134" s="1" t="n">
        <v>46260</v>
      </c>
      <c r="F134" t="inlineStr">
        <is>
          <t>JÖNKÖPINGS LÄN</t>
        </is>
      </c>
      <c r="G134" t="inlineStr">
        <is>
          <t>ANEBY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46260</v>
      </c>
      <c r="F135" t="inlineStr">
        <is>
          <t>JÖNKÖPINGS LÄN</t>
        </is>
      </c>
      <c r="G135" t="inlineStr">
        <is>
          <t>ANEBY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46260</v>
      </c>
      <c r="F136" t="inlineStr">
        <is>
          <t>JÖNKÖPINGS LÄN</t>
        </is>
      </c>
      <c r="G136" t="inlineStr">
        <is>
          <t>ANEBY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46260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46260</v>
      </c>
      <c r="F138" t="inlineStr">
        <is>
          <t>JÖNKÖPINGS LÄN</t>
        </is>
      </c>
      <c r="G138" t="inlineStr">
        <is>
          <t>ANEBY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46260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46260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46260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46073</v>
      </c>
      <c r="E142" s="1" t="n">
        <v>46260</v>
      </c>
      <c r="F142" t="inlineStr">
        <is>
          <t>JÖNKÖPINGS LÄN</t>
        </is>
      </c>
      <c r="G142" t="inlineStr">
        <is>
          <t>ANEBY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46260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45911</v>
      </c>
      <c r="E144" s="1" t="n">
        <v>46260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46260</v>
      </c>
      <c r="F145" t="inlineStr">
        <is>
          <t>JÖNKÖPINGS LÄN</t>
        </is>
      </c>
      <c r="G145" t="inlineStr">
        <is>
          <t>ANEBY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46260</v>
      </c>
      <c r="F146" t="inlineStr">
        <is>
          <t>JÖNKÖPINGS LÄN</t>
        </is>
      </c>
      <c r="G146" t="inlineStr">
        <is>
          <t>ANEBY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46260</v>
      </c>
      <c r="F147" t="inlineStr">
        <is>
          <t>JÖNKÖPINGS LÄN</t>
        </is>
      </c>
      <c r="G147" t="inlineStr">
        <is>
          <t>ANEBY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45086</v>
      </c>
      <c r="E148" s="1" t="n">
        <v>46260</v>
      </c>
      <c r="F148" t="inlineStr">
        <is>
          <t>JÖNKÖPINGS LÄN</t>
        </is>
      </c>
      <c r="G148" t="inlineStr">
        <is>
          <t>ANEBY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46260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46260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32891-2023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45124</v>
      </c>
      <c r="E151" s="1" t="n">
        <v>46260</v>
      </c>
      <c r="F151" t="inlineStr">
        <is>
          <t>JÖNKÖPINGS LÄN</t>
        </is>
      </c>
      <c r="G151" t="inlineStr">
        <is>
          <t>ANEBY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46260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16.8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46260</v>
      </c>
      <c r="F153" t="inlineStr">
        <is>
          <t>JÖNKÖPINGS LÄN</t>
        </is>
      </c>
      <c r="G153" t="inlineStr">
        <is>
          <t>ANEBY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57170-2021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46260</v>
      </c>
      <c r="F154" t="inlineStr">
        <is>
          <t>JÖNKÖPINGS LÄN</t>
        </is>
      </c>
      <c r="G154" t="inlineStr">
        <is>
          <t>ANEBY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35773-2023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45148</v>
      </c>
      <c r="E155" s="1" t="n">
        <v>46260</v>
      </c>
      <c r="F155" t="inlineStr">
        <is>
          <t>JÖNKÖPINGS LÄN</t>
        </is>
      </c>
      <c r="G155" t="inlineStr">
        <is>
          <t>ANEBY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56735-2021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44481</v>
      </c>
      <c r="E156" s="1" t="n">
        <v>46260</v>
      </c>
      <c r="F156" t="inlineStr">
        <is>
          <t>JÖNKÖPINGS LÄN</t>
        </is>
      </c>
      <c r="G156" t="inlineStr">
        <is>
          <t>ANEBY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46098</v>
      </c>
      <c r="E157" s="1" t="n">
        <v>46260</v>
      </c>
      <c r="F157" t="inlineStr">
        <is>
          <t>JÖNKÖPINGS LÄN</t>
        </is>
      </c>
      <c r="G157" t="inlineStr">
        <is>
          <t>ANEBY</t>
        </is>
      </c>
      <c r="H157" t="inlineStr">
        <is>
          <t>Övriga Aktiebolag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9541-2024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46260</v>
      </c>
      <c r="F158" t="inlineStr">
        <is>
          <t>JÖNKÖPINGS LÄN</t>
        </is>
      </c>
      <c r="G158" t="inlineStr">
        <is>
          <t>ANEBY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46260</v>
      </c>
      <c r="F159" t="inlineStr">
        <is>
          <t>JÖNKÖPINGS LÄN</t>
        </is>
      </c>
      <c r="G159" t="inlineStr">
        <is>
          <t>ANEBY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37135-2024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46260</v>
      </c>
      <c r="F160" t="inlineStr">
        <is>
          <t>JÖNKÖPINGS LÄN</t>
        </is>
      </c>
      <c r="G160" t="inlineStr">
        <is>
          <t>ANEBY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46260</v>
      </c>
      <c r="F161" t="inlineStr">
        <is>
          <t>JÖNKÖPINGS LÄN</t>
        </is>
      </c>
      <c r="G161" t="inlineStr">
        <is>
          <t>ANEBY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46260</v>
      </c>
      <c r="F162" t="inlineStr">
        <is>
          <t>JÖNKÖPINGS LÄN</t>
        </is>
      </c>
      <c r="G162" t="inlineStr">
        <is>
          <t>ANEBY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46260</v>
      </c>
      <c r="F163" t="inlineStr">
        <is>
          <t>JÖNKÖPINGS LÄN</t>
        </is>
      </c>
      <c r="G163" t="inlineStr">
        <is>
          <t>ANEBY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46260</v>
      </c>
      <c r="F164" t="inlineStr">
        <is>
          <t>JÖNKÖPINGS LÄN</t>
        </is>
      </c>
      <c r="G164" t="inlineStr">
        <is>
          <t>ANEBY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46260</v>
      </c>
      <c r="F165" t="inlineStr">
        <is>
          <t>JÖNKÖPINGS LÄN</t>
        </is>
      </c>
      <c r="G165" t="inlineStr">
        <is>
          <t>ANEBY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46260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50744-2025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46260</v>
      </c>
      <c r="F167" t="inlineStr">
        <is>
          <t>JÖNKÖPINGS LÄN</t>
        </is>
      </c>
      <c r="G167" t="inlineStr">
        <is>
          <t>ANEBY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46260</v>
      </c>
      <c r="F168" t="inlineStr">
        <is>
          <t>JÖNKÖPINGS LÄN</t>
        </is>
      </c>
      <c r="G168" t="inlineStr">
        <is>
          <t>ANEBY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46260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52718-2025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46260</v>
      </c>
      <c r="F170" t="inlineStr">
        <is>
          <t>JÖNKÖPINGS LÄN</t>
        </is>
      </c>
      <c r="G170" t="inlineStr">
        <is>
          <t>ANEBY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46260</v>
      </c>
      <c r="F171" t="inlineStr">
        <is>
          <t>JÖNKÖPINGS LÄN</t>
        </is>
      </c>
      <c r="G171" t="inlineStr">
        <is>
          <t>ANEBY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46260</v>
      </c>
      <c r="F172" t="inlineStr">
        <is>
          <t>JÖNKÖPINGS LÄN</t>
        </is>
      </c>
      <c r="G172" t="inlineStr">
        <is>
          <t>ANEBY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46260</v>
      </c>
      <c r="F173" t="inlineStr">
        <is>
          <t>JÖNKÖPINGS LÄN</t>
        </is>
      </c>
      <c r="G173" t="inlineStr">
        <is>
          <t>ANEBY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46260</v>
      </c>
      <c r="F174" t="inlineStr">
        <is>
          <t>JÖNKÖPINGS LÄN</t>
        </is>
      </c>
      <c r="G174" t="inlineStr">
        <is>
          <t>ANEBY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18419-2026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46260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46260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45831</v>
      </c>
      <c r="E177" s="1" t="n">
        <v>46260</v>
      </c>
      <c r="F177" t="inlineStr">
        <is>
          <t>JÖNKÖPINGS LÄN</t>
        </is>
      </c>
      <c r="G177" t="inlineStr">
        <is>
          <t>ANEBY</t>
        </is>
      </c>
      <c r="H177" t="inlineStr">
        <is>
          <t>Övriga Aktiebolag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46260</v>
      </c>
      <c r="F178" t="inlineStr">
        <is>
          <t>JÖNKÖPINGS LÄN</t>
        </is>
      </c>
      <c r="G178" t="inlineStr">
        <is>
          <t>ANEBY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46260</v>
      </c>
      <c r="F179" t="inlineStr">
        <is>
          <t>JÖNKÖPINGS LÄN</t>
        </is>
      </c>
      <c r="G179" t="inlineStr">
        <is>
          <t>ANEBY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46260</v>
      </c>
      <c r="F180" t="inlineStr">
        <is>
          <t>JÖNKÖPINGS LÄN</t>
        </is>
      </c>
      <c r="G180" t="inlineStr">
        <is>
          <t>ANEBY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46260</v>
      </c>
      <c r="F181" t="inlineStr">
        <is>
          <t>JÖNKÖPINGS LÄN</t>
        </is>
      </c>
      <c r="G181" t="inlineStr">
        <is>
          <t>ANEBY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46260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46260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46260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19.6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46260</v>
      </c>
      <c r="F185" t="inlineStr">
        <is>
          <t>JÖNKÖPINGS LÄN</t>
        </is>
      </c>
      <c r="G185" t="inlineStr">
        <is>
          <t>ANEBY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46260</v>
      </c>
      <c r="F186" t="inlineStr">
        <is>
          <t>JÖNKÖPINGS LÄN</t>
        </is>
      </c>
      <c r="G186" t="inlineStr">
        <is>
          <t>ANEBY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45572</v>
      </c>
      <c r="E187" s="1" t="n">
        <v>46260</v>
      </c>
      <c r="F187" t="inlineStr">
        <is>
          <t>JÖNKÖPINGS LÄN</t>
        </is>
      </c>
      <c r="G187" t="inlineStr">
        <is>
          <t>ANEBY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46260</v>
      </c>
      <c r="F188" t="inlineStr">
        <is>
          <t>JÖNKÖPINGS LÄN</t>
        </is>
      </c>
      <c r="G188" t="inlineStr">
        <is>
          <t>ANEBY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46260</v>
      </c>
      <c r="F189" t="inlineStr">
        <is>
          <t>JÖNKÖPINGS LÄN</t>
        </is>
      </c>
      <c r="G189" t="inlineStr">
        <is>
          <t>ANEBY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45982</v>
      </c>
      <c r="E190" s="1" t="n">
        <v>46260</v>
      </c>
      <c r="F190" t="inlineStr">
        <is>
          <t>JÖNKÖPINGS LÄN</t>
        </is>
      </c>
      <c r="G190" t="inlineStr">
        <is>
          <t>ANEBY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46260</v>
      </c>
      <c r="F191" t="inlineStr">
        <is>
          <t>JÖNKÖPINGS LÄN</t>
        </is>
      </c>
      <c r="G191" t="inlineStr">
        <is>
          <t>ANEBY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46260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45993</v>
      </c>
      <c r="E193" s="1" t="n">
        <v>46260</v>
      </c>
      <c r="F193" t="inlineStr">
        <is>
          <t>JÖNKÖPINGS LÄN</t>
        </is>
      </c>
      <c r="G193" t="inlineStr">
        <is>
          <t>ANEBY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44606</v>
      </c>
      <c r="E194" s="1" t="n">
        <v>46260</v>
      </c>
      <c r="F194" t="inlineStr">
        <is>
          <t>JÖNKÖPINGS LÄN</t>
        </is>
      </c>
      <c r="G194" t="inlineStr">
        <is>
          <t>ANEBY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45393</v>
      </c>
      <c r="E195" s="1" t="n">
        <v>46260</v>
      </c>
      <c r="F195" t="inlineStr">
        <is>
          <t>JÖNKÖPINGS LÄN</t>
        </is>
      </c>
      <c r="G195" t="inlineStr">
        <is>
          <t>ANEBY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46260</v>
      </c>
      <c r="F196" t="inlineStr">
        <is>
          <t>JÖNKÖPINGS LÄN</t>
        </is>
      </c>
      <c r="G196" t="inlineStr">
        <is>
          <t>ANEBY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46260</v>
      </c>
      <c r="F197" t="inlineStr">
        <is>
          <t>JÖNKÖPINGS LÄN</t>
        </is>
      </c>
      <c r="G197" t="inlineStr">
        <is>
          <t>ANEBY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32768-2025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46260</v>
      </c>
      <c r="F198" t="inlineStr">
        <is>
          <t>JÖNKÖPINGS LÄN</t>
        </is>
      </c>
      <c r="G198" t="inlineStr">
        <is>
          <t>ANEBY</t>
        </is>
      </c>
      <c r="I198" t="n">
        <v>7.2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46260</v>
      </c>
      <c r="F199" t="inlineStr">
        <is>
          <t>JÖNKÖPINGS LÄN</t>
        </is>
      </c>
      <c r="G199" t="inlineStr">
        <is>
          <t>ANEBY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44985</v>
      </c>
      <c r="E200" s="1" t="n">
        <v>46260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45454</v>
      </c>
      <c r="E201" s="1" t="n">
        <v>46260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46260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46260</v>
      </c>
      <c r="F203" t="inlineStr">
        <is>
          <t>JÖNKÖPINGS LÄN</t>
        </is>
      </c>
      <c r="G203" t="inlineStr">
        <is>
          <t>ANEBY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46260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46260</v>
      </c>
      <c r="F205" t="inlineStr">
        <is>
          <t>JÖNKÖPINGS LÄN</t>
        </is>
      </c>
      <c r="G205" t="inlineStr">
        <is>
          <t>ANEBY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46260</v>
      </c>
      <c r="F206" t="inlineStr">
        <is>
          <t>JÖNKÖPINGS LÄN</t>
        </is>
      </c>
      <c r="G206" t="inlineStr">
        <is>
          <t>ANEBY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46260</v>
      </c>
      <c r="F207" t="inlineStr">
        <is>
          <t>JÖNKÖPINGS LÄN</t>
        </is>
      </c>
      <c r="G207" t="inlineStr">
        <is>
          <t>ANEBY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46260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46260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27613-2023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46260</v>
      </c>
      <c r="F210" t="inlineStr">
        <is>
          <t>JÖNKÖPINGS LÄN</t>
        </is>
      </c>
      <c r="G210" t="inlineStr">
        <is>
          <t>ANEBY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46260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45665</v>
      </c>
      <c r="E212" s="1" t="n">
        <v>46260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21356-2026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46147</v>
      </c>
      <c r="E213" s="1" t="n">
        <v>46260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45379</v>
      </c>
      <c r="E214" s="1" t="n">
        <v>46260</v>
      </c>
      <c r="F214" t="inlineStr">
        <is>
          <t>JÖNKÖPINGS LÄN</t>
        </is>
      </c>
      <c r="G214" t="inlineStr">
        <is>
          <t>ANEBY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46260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46260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46260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46260</v>
      </c>
      <c r="F218" t="inlineStr">
        <is>
          <t>JÖNKÖPINGS LÄN</t>
        </is>
      </c>
      <c r="G218" t="inlineStr">
        <is>
          <t>ANEBY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17082-2024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46260</v>
      </c>
      <c r="F219" t="inlineStr">
        <is>
          <t>JÖNKÖPINGS LÄN</t>
        </is>
      </c>
      <c r="G219" t="inlineStr">
        <is>
          <t>ANEBY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9066-2024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46260</v>
      </c>
      <c r="F220" t="inlineStr">
        <is>
          <t>JÖNKÖPINGS LÄN</t>
        </is>
      </c>
      <c r="G220" t="inlineStr">
        <is>
          <t>ANEBY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46260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46260</v>
      </c>
      <c r="F222" t="inlineStr">
        <is>
          <t>JÖNKÖPINGS LÄN</t>
        </is>
      </c>
      <c r="G222" t="inlineStr">
        <is>
          <t>ANEBY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45688</v>
      </c>
      <c r="E223" s="1" t="n">
        <v>46260</v>
      </c>
      <c r="F223" t="inlineStr">
        <is>
          <t>JÖNKÖPINGS LÄN</t>
        </is>
      </c>
      <c r="G223" t="inlineStr">
        <is>
          <t>ANEBY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46260</v>
      </c>
      <c r="F224" t="inlineStr">
        <is>
          <t>JÖNKÖPINGS LÄN</t>
        </is>
      </c>
      <c r="G224" t="inlineStr">
        <is>
          <t>ANEBY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44952</v>
      </c>
      <c r="E225" s="1" t="n">
        <v>46260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46260</v>
      </c>
      <c r="F226" t="inlineStr">
        <is>
          <t>JÖNKÖPINGS LÄN</t>
        </is>
      </c>
      <c r="G226" t="inlineStr">
        <is>
          <t>ANEBY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46260</v>
      </c>
      <c r="F227" t="inlineStr">
        <is>
          <t>JÖNKÖPINGS LÄN</t>
        </is>
      </c>
      <c r="G227" t="inlineStr">
        <is>
          <t>ANEBY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73166-2021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44550</v>
      </c>
      <c r="E228" s="1" t="n">
        <v>46260</v>
      </c>
      <c r="F228" t="inlineStr">
        <is>
          <t>JÖNKÖPINGS LÄN</t>
        </is>
      </c>
      <c r="G228" t="inlineStr">
        <is>
          <t>ANEBY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46260</v>
      </c>
      <c r="F229" t="inlineStr">
        <is>
          <t>JÖNKÖPINGS LÄN</t>
        </is>
      </c>
      <c r="G229" t="inlineStr">
        <is>
          <t>ANEBY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44623</v>
      </c>
      <c r="E230" s="1" t="n">
        <v>46260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23349-2023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45076</v>
      </c>
      <c r="E231" s="1" t="n">
        <v>46260</v>
      </c>
      <c r="F231" t="inlineStr">
        <is>
          <t>JÖNKÖPINGS LÄN</t>
        </is>
      </c>
      <c r="G231" t="inlineStr">
        <is>
          <t>ANEBY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46260</v>
      </c>
      <c r="F232" t="inlineStr">
        <is>
          <t>JÖNKÖPINGS LÄN</t>
        </is>
      </c>
      <c r="G232" t="inlineStr">
        <is>
          <t>ANEBY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45467</v>
      </c>
      <c r="E233" s="1" t="n">
        <v>46260</v>
      </c>
      <c r="F233" t="inlineStr">
        <is>
          <t>JÖNKÖPINGS LÄN</t>
        </is>
      </c>
      <c r="G233" t="inlineStr">
        <is>
          <t>ANEBY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HYPERLINK("https://klasma.github.io/Logging_0604/knärot/A 25963-2024 karta knärot.png", "A 25963-2024")</f>
        <v/>
      </c>
      <c r="AA233">
        <f>HYPERLINK("https://klasma.github.io/Logging_0604/klagomål/A 25963-2024 FSC-klagomål.docx", "A 25963-2024")</f>
        <v/>
      </c>
      <c r="AB233">
        <f>HYPERLINK("https://klasma.github.io/Logging_0604/klagomålsmail/A 25963-2024 FSC-klagomål mail.docx", "A 25963-2024")</f>
        <v/>
      </c>
      <c r="AC233">
        <f>HYPERLINK("https://klasma.github.io/Logging_0604/tillsyn/A 25963-2024 tillsynsbegäran.docx", "A 25963-2024")</f>
        <v/>
      </c>
      <c r="AD233">
        <f>HYPERLINK("https://klasma.github.io/Logging_0604/tillsynsmail/A 25963-2024 tillsynsbegäran mail.docx", "A 25963-2024")</f>
        <v/>
      </c>
    </row>
    <row r="234" ht="15" customHeight="1">
      <c r="A234" t="inlineStr">
        <is>
          <t>A 21812-2023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46260</v>
      </c>
      <c r="F234" t="inlineStr">
        <is>
          <t>JÖNKÖPINGS LÄN</t>
        </is>
      </c>
      <c r="G234" t="inlineStr">
        <is>
          <t>ANEBY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46260</v>
      </c>
      <c r="F235" t="inlineStr">
        <is>
          <t>JÖNKÖPINGS LÄN</t>
        </is>
      </c>
      <c r="G235" t="inlineStr">
        <is>
          <t>ANEBY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46260</v>
      </c>
      <c r="F236" t="inlineStr">
        <is>
          <t>JÖNKÖPINGS LÄN</t>
        </is>
      </c>
      <c r="G236" t="inlineStr">
        <is>
          <t>ANEBY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46260</v>
      </c>
      <c r="F237" t="inlineStr">
        <is>
          <t>JÖNKÖPINGS LÄN</t>
        </is>
      </c>
      <c r="G237" t="inlineStr">
        <is>
          <t>ANEBY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46780-2023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45198</v>
      </c>
      <c r="E238" s="1" t="n">
        <v>46260</v>
      </c>
      <c r="F238" t="inlineStr">
        <is>
          <t>JÖNKÖPINGS LÄN</t>
        </is>
      </c>
      <c r="G238" t="inlineStr">
        <is>
          <t>ANEBY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24447-2026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46260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46260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24672-2026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46171</v>
      </c>
      <c r="E241" s="1" t="n">
        <v>46260</v>
      </c>
      <c r="F241" t="inlineStr">
        <is>
          <t>JÖNKÖPINGS LÄN</t>
        </is>
      </c>
      <c r="G241" t="inlineStr">
        <is>
          <t>ANEBY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45610</v>
      </c>
      <c r="E242" s="1" t="n">
        <v>46260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23557-2022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44721</v>
      </c>
      <c r="E243" s="1" t="n">
        <v>46260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54213-2024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45616</v>
      </c>
      <c r="E244" s="1" t="n">
        <v>46260</v>
      </c>
      <c r="F244" t="inlineStr">
        <is>
          <t>JÖNKÖPINGS LÄN</t>
        </is>
      </c>
      <c r="G244" t="inlineStr">
        <is>
          <t>ANEBY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46260</v>
      </c>
      <c r="F245" t="inlineStr">
        <is>
          <t>JÖNKÖPINGS LÄN</t>
        </is>
      </c>
      <c r="G245" t="inlineStr">
        <is>
          <t>ANEBY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46260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45772</v>
      </c>
      <c r="E247" s="1" t="n">
        <v>46260</v>
      </c>
      <c r="F247" t="inlineStr">
        <is>
          <t>JÖNKÖPINGS LÄN</t>
        </is>
      </c>
      <c r="G247" t="inlineStr">
        <is>
          <t>ANEBY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45316</v>
      </c>
      <c r="E248" s="1" t="n">
        <v>46260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44966</v>
      </c>
      <c r="E249" s="1" t="n">
        <v>46260</v>
      </c>
      <c r="F249" t="inlineStr">
        <is>
          <t>JÖNKÖPINGS LÄN</t>
        </is>
      </c>
      <c r="G249" t="inlineStr">
        <is>
          <t>ANEBY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44705</v>
      </c>
      <c r="E250" s="1" t="n">
        <v>46260</v>
      </c>
      <c r="F250" t="inlineStr">
        <is>
          <t>JÖNKÖPINGS LÄN</t>
        </is>
      </c>
      <c r="G250" t="inlineStr">
        <is>
          <t>ANEBY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43613-2023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45184</v>
      </c>
      <c r="E251" s="1" t="n">
        <v>46260</v>
      </c>
      <c r="F251" t="inlineStr">
        <is>
          <t>JÖNKÖPINGS LÄN</t>
        </is>
      </c>
      <c r="G251" t="inlineStr">
        <is>
          <t>ANEBY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12477-2023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44999</v>
      </c>
      <c r="E252" s="1" t="n">
        <v>46260</v>
      </c>
      <c r="F252" t="inlineStr">
        <is>
          <t>JÖNKÖPINGS LÄN</t>
        </is>
      </c>
      <c r="G252" t="inlineStr">
        <is>
          <t>ANEBY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45084</v>
      </c>
      <c r="E253" s="1" t="n">
        <v>46260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764-2025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46260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46260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46260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46260</v>
      </c>
      <c r="F257" t="inlineStr">
        <is>
          <t>JÖNKÖPINGS LÄN</t>
        </is>
      </c>
      <c r="G257" t="inlineStr">
        <is>
          <t>ANEBY</t>
        </is>
      </c>
      <c r="H257" t="inlineStr">
        <is>
          <t>Övriga Aktiebolag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46224</v>
      </c>
      <c r="E258" s="1" t="n">
        <v>46260</v>
      </c>
      <c r="F258" t="inlineStr">
        <is>
          <t>JÖNKÖPINGS LÄN</t>
        </is>
      </c>
      <c r="G258" t="inlineStr">
        <is>
          <t>ANEBY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46260</v>
      </c>
      <c r="F259" t="inlineStr">
        <is>
          <t>JÖNKÖPINGS LÄN</t>
        </is>
      </c>
      <c r="G259" t="inlineStr">
        <is>
          <t>ANEBY</t>
        </is>
      </c>
      <c r="I259" t="n">
        <v>17.9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46260</v>
      </c>
      <c r="F260" t="inlineStr">
        <is>
          <t>JÖNKÖPINGS LÄN</t>
        </is>
      </c>
      <c r="G260" t="inlineStr">
        <is>
          <t>ANEBY</t>
        </is>
      </c>
      <c r="H260" t="inlineStr">
        <is>
          <t>Övriga Aktiebolag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46260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44957</v>
      </c>
      <c r="E262" s="1" t="n">
        <v>46260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46260</v>
      </c>
      <c r="F263" t="inlineStr">
        <is>
          <t>JÖNKÖPINGS LÄN</t>
        </is>
      </c>
      <c r="G263" t="inlineStr">
        <is>
          <t>ANEBY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46260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46260</v>
      </c>
      <c r="F265" t="inlineStr">
        <is>
          <t>JÖNKÖPINGS LÄN</t>
        </is>
      </c>
      <c r="G265" t="inlineStr">
        <is>
          <t>ANEBY</t>
        </is>
      </c>
      <c r="H265" t="inlineStr">
        <is>
          <t>Kyrkan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46260</v>
      </c>
      <c r="F266" t="inlineStr">
        <is>
          <t>JÖNKÖPINGS LÄN</t>
        </is>
      </c>
      <c r="G266" t="inlineStr">
        <is>
          <t>ANEBY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46260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45304</v>
      </c>
      <c r="E268" s="1" t="n">
        <v>46260</v>
      </c>
      <c r="F268" t="inlineStr">
        <is>
          <t>JÖNKÖPINGS LÄN</t>
        </is>
      </c>
      <c r="G268" t="inlineStr">
        <is>
          <t>ANEBY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46260</v>
      </c>
      <c r="F269" t="inlineStr">
        <is>
          <t>JÖNKÖPINGS LÄN</t>
        </is>
      </c>
      <c r="G269" t="inlineStr">
        <is>
          <t>ANEBY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45468</v>
      </c>
      <c r="E270" s="1" t="n">
        <v>46260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46260</v>
      </c>
      <c r="F271" t="inlineStr">
        <is>
          <t>JÖNKÖPINGS LÄN</t>
        </is>
      </c>
      <c r="G271" t="inlineStr">
        <is>
          <t>ANEBY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56333-2022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44890</v>
      </c>
      <c r="E272" s="1" t="n">
        <v>46260</v>
      </c>
      <c r="F272" t="inlineStr">
        <is>
          <t>JÖNKÖPINGS LÄN</t>
        </is>
      </c>
      <c r="G272" t="inlineStr">
        <is>
          <t>ANEBY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56339-2022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44890</v>
      </c>
      <c r="E273" s="1" t="n">
        <v>46260</v>
      </c>
      <c r="F273" t="inlineStr">
        <is>
          <t>JÖNKÖPINGS LÄN</t>
        </is>
      </c>
      <c r="G273" t="inlineStr">
        <is>
          <t>ANEBY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10155-2024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45364</v>
      </c>
      <c r="E274" s="1" t="n">
        <v>46260</v>
      </c>
      <c r="F274" t="inlineStr">
        <is>
          <t>JÖNKÖPINGS LÄN</t>
        </is>
      </c>
      <c r="G274" t="inlineStr">
        <is>
          <t>ANEBY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14338-2024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46260</v>
      </c>
      <c r="F275" t="inlineStr">
        <is>
          <t>JÖNKÖPINGS LÄN</t>
        </is>
      </c>
      <c r="G275" t="inlineStr">
        <is>
          <t>ANEBY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44859</v>
      </c>
      <c r="E276" s="1" t="n">
        <v>46260</v>
      </c>
      <c r="F276" t="inlineStr">
        <is>
          <t>JÖNKÖPINGS LÄN</t>
        </is>
      </c>
      <c r="G276" t="inlineStr">
        <is>
          <t>ANEBY</t>
        </is>
      </c>
      <c r="H276" t="inlineStr">
        <is>
          <t>Övriga Aktiebolag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46260</v>
      </c>
      <c r="F277" t="inlineStr">
        <is>
          <t>JÖNKÖPINGS LÄN</t>
        </is>
      </c>
      <c r="G277" t="inlineStr">
        <is>
          <t>ANEBY</t>
        </is>
      </c>
      <c r="H277" t="inlineStr">
        <is>
          <t>Övriga Aktiebolag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44851</v>
      </c>
      <c r="E278" s="1" t="n">
        <v>46260</v>
      </c>
      <c r="F278" t="inlineStr">
        <is>
          <t>JÖNKÖPINGS LÄN</t>
        </is>
      </c>
      <c r="G278" t="inlineStr">
        <is>
          <t>ANEBY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46260</v>
      </c>
      <c r="F279" t="inlineStr">
        <is>
          <t>JÖNKÖPINGS LÄN</t>
        </is>
      </c>
      <c r="G279" t="inlineStr">
        <is>
          <t>ANEBY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44620</v>
      </c>
      <c r="E280" s="1" t="n">
        <v>46260</v>
      </c>
      <c r="F280" t="inlineStr">
        <is>
          <t>JÖNKÖPINGS LÄN</t>
        </is>
      </c>
      <c r="G280" t="inlineStr">
        <is>
          <t>ANEBY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10456-2023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44981</v>
      </c>
      <c r="E281" s="1" t="n">
        <v>46260</v>
      </c>
      <c r="F281" t="inlineStr">
        <is>
          <t>JÖNKÖPINGS LÄN</t>
        </is>
      </c>
      <c r="G281" t="inlineStr">
        <is>
          <t>ANEBY</t>
        </is>
      </c>
      <c r="H281" t="inlineStr">
        <is>
          <t>Övriga Aktiebolag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46260</v>
      </c>
      <c r="F282" t="inlineStr">
        <is>
          <t>JÖNKÖPINGS LÄN</t>
        </is>
      </c>
      <c r="G282" t="inlineStr">
        <is>
          <t>ANEBY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46260</v>
      </c>
      <c r="F283" t="inlineStr">
        <is>
          <t>JÖNKÖPINGS LÄN</t>
        </is>
      </c>
      <c r="G283" t="inlineStr">
        <is>
          <t>ANEBY</t>
        </is>
      </c>
      <c r="I283" t="n">
        <v>13.8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45126</v>
      </c>
      <c r="E284" s="1" t="n">
        <v>46260</v>
      </c>
      <c r="F284" t="inlineStr">
        <is>
          <t>JÖNKÖPINGS LÄN</t>
        </is>
      </c>
      <c r="G284" t="inlineStr">
        <is>
          <t>ANEBY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51185-2021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44461</v>
      </c>
      <c r="E285" s="1" t="n">
        <v>46260</v>
      </c>
      <c r="F285" t="inlineStr">
        <is>
          <t>JÖNKÖPINGS LÄN</t>
        </is>
      </c>
      <c r="G285" t="inlineStr">
        <is>
          <t>ANEBY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44671</v>
      </c>
      <c r="E286" s="1" t="n">
        <v>46260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46254</v>
      </c>
      <c r="E287" s="1" t="n">
        <v>46260</v>
      </c>
      <c r="F287" t="inlineStr">
        <is>
          <t>JÖNKÖPINGS LÄN</t>
        </is>
      </c>
      <c r="G287" t="inlineStr">
        <is>
          <t>ANEBY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46260</v>
      </c>
      <c r="F288" t="inlineStr">
        <is>
          <t>JÖNKÖPINGS LÄN</t>
        </is>
      </c>
      <c r="G288" t="inlineStr">
        <is>
          <t>ANEBY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46260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46260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34378-2026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46254</v>
      </c>
      <c r="E291" s="1" t="n">
        <v>46260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46214</v>
      </c>
      <c r="E292" s="1" t="n">
        <v>46260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46214</v>
      </c>
      <c r="E293" s="1" t="n">
        <v>46260</v>
      </c>
      <c r="F293" t="inlineStr">
        <is>
          <t>JÖNKÖPINGS LÄN</t>
        </is>
      </c>
      <c r="G293" t="inlineStr">
        <is>
          <t>ANEBY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46214</v>
      </c>
      <c r="E294" s="1" t="n">
        <v>46260</v>
      </c>
      <c r="F294" t="inlineStr">
        <is>
          <t>JÖNKÖPINGS LÄN</t>
        </is>
      </c>
      <c r="G294" t="inlineStr">
        <is>
          <t>ANEBY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30028-2023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46260</v>
      </c>
      <c r="F295" t="inlineStr">
        <is>
          <t>JÖNKÖPINGS LÄN</t>
        </is>
      </c>
      <c r="G295" t="inlineStr">
        <is>
          <t>ANEBY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34850-2026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46255</v>
      </c>
      <c r="E296" s="1" t="n">
        <v>46260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10302-2024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46260</v>
      </c>
      <c r="F297" t="inlineStr">
        <is>
          <t>JÖNKÖPINGS LÄN</t>
        </is>
      </c>
      <c r="G297" t="inlineStr">
        <is>
          <t>ANEBY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46260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18.6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46260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46260</v>
      </c>
      <c r="F300" t="inlineStr">
        <is>
          <t>JÖNKÖPINGS LÄN</t>
        </is>
      </c>
      <c r="G300" t="inlineStr">
        <is>
          <t>ANEBY</t>
        </is>
      </c>
      <c r="H300" t="inlineStr">
        <is>
          <t>Kyrkan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46260</v>
      </c>
      <c r="F301" t="inlineStr">
        <is>
          <t>JÖNKÖPINGS LÄN</t>
        </is>
      </c>
      <c r="G301" t="inlineStr">
        <is>
          <t>ANEBY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67414-2021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44524</v>
      </c>
      <c r="E302" s="1" t="n">
        <v>46260</v>
      </c>
      <c r="F302" t="inlineStr">
        <is>
          <t>JÖNKÖPINGS LÄN</t>
        </is>
      </c>
      <c r="G302" t="inlineStr">
        <is>
          <t>ANEBY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16928-2023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46260</v>
      </c>
      <c r="F303" t="inlineStr">
        <is>
          <t>JÖNKÖPINGS LÄN</t>
        </is>
      </c>
      <c r="G303" t="inlineStr">
        <is>
          <t>ANEBY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59507-2022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44900</v>
      </c>
      <c r="E304" s="1" t="n">
        <v>46260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23354-2023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45076</v>
      </c>
      <c r="E305" s="1" t="n">
        <v>46260</v>
      </c>
      <c r="F305" t="inlineStr">
        <is>
          <t>JÖNKÖPINGS LÄN</t>
        </is>
      </c>
      <c r="G305" t="inlineStr">
        <is>
          <t>ANEBY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24784-2024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45460</v>
      </c>
      <c r="E306" s="1" t="n">
        <v>46260</v>
      </c>
      <c r="F306" t="inlineStr">
        <is>
          <t>JÖNKÖPINGS LÄN</t>
        </is>
      </c>
      <c r="G306" t="inlineStr">
        <is>
          <t>ANEBY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37343-2023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45156</v>
      </c>
      <c r="E307" s="1" t="n">
        <v>46260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45363</v>
      </c>
      <c r="E308" s="1" t="n">
        <v>46260</v>
      </c>
      <c r="F308" t="inlineStr">
        <is>
          <t>JÖNKÖPINGS LÄN</t>
        </is>
      </c>
      <c r="G308" t="inlineStr">
        <is>
          <t>ANEBY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23712-2023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45077</v>
      </c>
      <c r="E309" s="1" t="n">
        <v>46260</v>
      </c>
      <c r="F309" t="inlineStr">
        <is>
          <t>JÖNKÖPINGS LÄN</t>
        </is>
      </c>
      <c r="G309" t="inlineStr">
        <is>
          <t>ANEBY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26498-2023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45092</v>
      </c>
      <c r="E310" s="1" t="n">
        <v>46260</v>
      </c>
      <c r="F310" t="inlineStr">
        <is>
          <t>JÖNKÖPINGS LÄN</t>
        </is>
      </c>
      <c r="G310" t="inlineStr">
        <is>
          <t>ANEBY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38794-2023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45161</v>
      </c>
      <c r="E311" s="1" t="n">
        <v>46260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16306-2023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45028</v>
      </c>
      <c r="E312" s="1" t="n">
        <v>46260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46260</v>
      </c>
      <c r="F313" t="inlineStr">
        <is>
          <t>JÖNKÖPINGS LÄN</t>
        </is>
      </c>
      <c r="G313" t="inlineStr">
        <is>
          <t>ANEBY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46260</v>
      </c>
      <c r="F314" t="inlineStr">
        <is>
          <t>JÖNKÖPINGS LÄN</t>
        </is>
      </c>
      <c r="G314" t="inlineStr">
        <is>
          <t>ANEBY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45016</v>
      </c>
      <c r="E315" s="1" t="n">
        <v>46260</v>
      </c>
      <c r="F315" t="inlineStr">
        <is>
          <t>JÖNKÖPINGS LÄN</t>
        </is>
      </c>
      <c r="G315" t="inlineStr">
        <is>
          <t>ANEBY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44978</v>
      </c>
      <c r="E316" s="1" t="n">
        <v>46260</v>
      </c>
      <c r="F316" t="inlineStr">
        <is>
          <t>JÖNKÖPINGS LÄN</t>
        </is>
      </c>
      <c r="G316" t="inlineStr">
        <is>
          <t>ANEBY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45372</v>
      </c>
      <c r="E317" s="1" t="n">
        <v>46260</v>
      </c>
      <c r="F317" t="inlineStr">
        <is>
          <t>JÖNKÖPINGS LÄN</t>
        </is>
      </c>
      <c r="G317" t="inlineStr">
        <is>
          <t>ANEBY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46260</v>
      </c>
      <c r="F318" t="inlineStr">
        <is>
          <t>JÖNKÖPINGS LÄN</t>
        </is>
      </c>
      <c r="G318" t="inlineStr">
        <is>
          <t>ANEBY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46260</v>
      </c>
      <c r="F319" t="inlineStr">
        <is>
          <t>JÖNKÖPINGS LÄN</t>
        </is>
      </c>
      <c r="G319" t="inlineStr">
        <is>
          <t>ANEBY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45555</v>
      </c>
      <c r="E320" s="1" t="n">
        <v>46260</v>
      </c>
      <c r="F320" t="inlineStr">
        <is>
          <t>JÖNKÖPINGS LÄN</t>
        </is>
      </c>
      <c r="G320" t="inlineStr">
        <is>
          <t>ANEBY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43485-2023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46260</v>
      </c>
      <c r="F321" t="inlineStr">
        <is>
          <t>JÖNKÖPINGS LÄN</t>
        </is>
      </c>
      <c r="G321" t="inlineStr">
        <is>
          <t>ANEBY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44957</v>
      </c>
      <c r="E322" s="1" t="n">
        <v>46260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44700</v>
      </c>
      <c r="E323" s="1" t="n">
        <v>46260</v>
      </c>
      <c r="F323" t="inlineStr">
        <is>
          <t>JÖNKÖPINGS LÄN</t>
        </is>
      </c>
      <c r="G323" t="inlineStr">
        <is>
          <t>ANEBY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46260</v>
      </c>
      <c r="F324" t="inlineStr">
        <is>
          <t>JÖNKÖPINGS LÄN</t>
        </is>
      </c>
      <c r="G324" t="inlineStr">
        <is>
          <t>ANEBY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45357</v>
      </c>
      <c r="E325" s="1" t="n">
        <v>46260</v>
      </c>
      <c r="F325" t="inlineStr">
        <is>
          <t>JÖNKÖPINGS LÄN</t>
        </is>
      </c>
      <c r="G325" t="inlineStr">
        <is>
          <t>ANEBY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45357</v>
      </c>
      <c r="E326" s="1" t="n">
        <v>46260</v>
      </c>
      <c r="F326" t="inlineStr">
        <is>
          <t>JÖNKÖPINGS LÄN</t>
        </is>
      </c>
      <c r="G326" t="inlineStr">
        <is>
          <t>ANEBY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51160-2021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44461</v>
      </c>
      <c r="E327" s="1" t="n">
        <v>46260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45089</v>
      </c>
      <c r="E328" s="1" t="n">
        <v>46260</v>
      </c>
      <c r="F328" t="inlineStr">
        <is>
          <t>JÖNKÖPINGS LÄN</t>
        </is>
      </c>
      <c r="G328" t="inlineStr">
        <is>
          <t>ANEBY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45404</v>
      </c>
      <c r="E329" s="1" t="n">
        <v>46260</v>
      </c>
      <c r="F329" t="inlineStr">
        <is>
          <t>JÖNKÖPINGS LÄN</t>
        </is>
      </c>
      <c r="G329" t="inlineStr">
        <is>
          <t>ANEBY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44461</v>
      </c>
      <c r="E330" s="1" t="n">
        <v>46260</v>
      </c>
      <c r="F330" t="inlineStr">
        <is>
          <t>JÖNKÖPINGS LÄN</t>
        </is>
      </c>
      <c r="G330" t="inlineStr">
        <is>
          <t>ANEBY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10360-2024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46260</v>
      </c>
      <c r="F331" t="inlineStr">
        <is>
          <t>JÖNKÖPINGS LÄN</t>
        </is>
      </c>
      <c r="G331" t="inlineStr">
        <is>
          <t>ANEBY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50069-2024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45600</v>
      </c>
      <c r="E332" s="1" t="n">
        <v>46260</v>
      </c>
      <c r="F332" t="inlineStr">
        <is>
          <t>JÖNKÖPINGS LÄN</t>
        </is>
      </c>
      <c r="G332" t="inlineStr">
        <is>
          <t>ANEBY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46260</v>
      </c>
      <c r="F333" t="inlineStr">
        <is>
          <t>JÖNKÖPINGS LÄN</t>
        </is>
      </c>
      <c r="G333" t="inlineStr">
        <is>
          <t>ANEBY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44565</v>
      </c>
      <c r="E334" s="1" t="n">
        <v>46260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45775</v>
      </c>
      <c r="E335" s="1" t="n">
        <v>46260</v>
      </c>
      <c r="F335" t="inlineStr">
        <is>
          <t>JÖNKÖPINGS LÄN</t>
        </is>
      </c>
      <c r="G335" t="inlineStr">
        <is>
          <t>ANEBY</t>
        </is>
      </c>
      <c r="H335" t="inlineStr">
        <is>
          <t>Kyrkan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46260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46260</v>
      </c>
      <c r="F337" t="inlineStr">
        <is>
          <t>JÖNKÖPINGS LÄN</t>
        </is>
      </c>
      <c r="G337" t="inlineStr">
        <is>
          <t>ANEBY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45594</v>
      </c>
      <c r="E338" s="1" t="n">
        <v>46260</v>
      </c>
      <c r="F338" t="inlineStr">
        <is>
          <t>JÖNKÖPINGS LÄN</t>
        </is>
      </c>
      <c r="G338" t="inlineStr">
        <is>
          <t>ANEBY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47118-2023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46260</v>
      </c>
      <c r="F339" t="inlineStr">
        <is>
          <t>JÖNKÖPINGS LÄN</t>
        </is>
      </c>
      <c r="G339" t="inlineStr">
        <is>
          <t>ANEBY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45398</v>
      </c>
      <c r="E340" s="1" t="n">
        <v>46260</v>
      </c>
      <c r="F340" t="inlineStr">
        <is>
          <t>JÖNKÖPINGS LÄN</t>
        </is>
      </c>
      <c r="G340" t="inlineStr">
        <is>
          <t>ANEBY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46260</v>
      </c>
      <c r="F341" t="inlineStr">
        <is>
          <t>JÖNKÖPINGS LÄN</t>
        </is>
      </c>
      <c r="G341" t="inlineStr">
        <is>
          <t>ANEBY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45531</v>
      </c>
      <c r="E342" s="1" t="n">
        <v>46260</v>
      </c>
      <c r="F342" t="inlineStr">
        <is>
          <t>JÖNKÖPINGS LÄN</t>
        </is>
      </c>
      <c r="G342" t="inlineStr">
        <is>
          <t>ANEBY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5767-2022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44848</v>
      </c>
      <c r="E343" s="1" t="n">
        <v>46260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6633-2022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44886</v>
      </c>
      <c r="E344" s="1" t="n">
        <v>46260</v>
      </c>
      <c r="F344" t="inlineStr">
        <is>
          <t>JÖNKÖPINGS LÄN</t>
        </is>
      </c>
      <c r="G344" t="inlineStr">
        <is>
          <t>ANEBY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1677-2023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45063</v>
      </c>
      <c r="E345" s="1" t="n">
        <v>46260</v>
      </c>
      <c r="F345" t="inlineStr">
        <is>
          <t>JÖNKÖPINGS LÄN</t>
        </is>
      </c>
      <c r="G345" t="inlineStr">
        <is>
          <t>ANEBY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7492-2021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44475</v>
      </c>
      <c r="E346" s="1" t="n">
        <v>46260</v>
      </c>
      <c r="F346" t="inlineStr">
        <is>
          <t>JÖNKÖPINGS LÄN</t>
        </is>
      </c>
      <c r="G346" t="inlineStr">
        <is>
          <t>ANEBY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3586-2024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45546</v>
      </c>
      <c r="E347" s="1" t="n">
        <v>46260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6631-2022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46260</v>
      </c>
      <c r="F348" t="inlineStr">
        <is>
          <t>JÖNKÖPINGS LÄN</t>
        </is>
      </c>
      <c r="G348" t="inlineStr">
        <is>
          <t>ANEBY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1729-2023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45069</v>
      </c>
      <c r="E349" s="1" t="n">
        <v>46260</v>
      </c>
      <c r="F349" t="inlineStr">
        <is>
          <t>JÖNKÖPINGS LÄN</t>
        </is>
      </c>
      <c r="G349" t="inlineStr">
        <is>
          <t>ANEBY</t>
        </is>
      </c>
      <c r="I349" t="n">
        <v>16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2550-2023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45135</v>
      </c>
      <c r="E350" s="1" t="n">
        <v>46260</v>
      </c>
      <c r="F350" t="inlineStr">
        <is>
          <t>JÖNKÖPINGS LÄN</t>
        </is>
      </c>
      <c r="G350" t="inlineStr">
        <is>
          <t>ANEBY</t>
        </is>
      </c>
      <c r="I350" t="n">
        <v>58.3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805-2022</t>
        </is>
      </c>
      <c r="B351" t="inlineStr">
        <is>
          <t>samrådsanmälan</t>
        </is>
      </c>
      <c r="C351" t="inlineStr">
        <is>
          <t>Skogsbilväg</t>
        </is>
      </c>
      <c r="D351" s="1" t="n">
        <v>44603</v>
      </c>
      <c r="E351" s="1" t="n">
        <v>46260</v>
      </c>
      <c r="F351" t="inlineStr">
        <is>
          <t>JÖNKÖPINGS LÄN</t>
        </is>
      </c>
      <c r="G351" t="inlineStr">
        <is>
          <t>ANEBY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46260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46260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46260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46260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46260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2026-08-26T01:49:22Z</dcterms:created>
  <dcterms:modified xmlns:dcterms="http://purl.org/dc/terms/" xmlns:xsi="http://www.w3.org/2001/XMLSchema-instance" xsi:type="dcterms:W3CDTF">2026-08-26T01:49:22Z</dcterms:modified>
</cp:coreProperties>
</file>