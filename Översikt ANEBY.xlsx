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46279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46279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46279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46279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46279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46279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46279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46279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46279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46279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46279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46279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46279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46279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46279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46279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46279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46279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46279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46279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46279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46279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46279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46279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46279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HYPERLINK("https://klasma.github.io/Logging_0604/artfynd/A 10010-2023 artfynd.xlsx", "A 10010-2023")</f>
        <v/>
      </c>
      <c r="X39">
        <f>HYPERLINK("https://klasma.github.io/Logging_0604/kartor/A 10010-2023 karta.png", "A 10010-2023")</f>
        <v/>
      </c>
      <c r="Y39">
        <f>HYPERLINK("https://klasma.github.io/Logging_0604/kartor_geotiff/A 10010-2023 georefererad karta.tif", "A 10010-2023")</f>
        <v/>
      </c>
      <c r="AA39">
        <f>HYPERLINK("https://klasma.github.io/Logging_0604/klagomål/A 10010-2023 FSC-klagomål.docx", "A 10010-2023")</f>
        <v/>
      </c>
      <c r="AB39">
        <f>HYPERLINK("https://klasma.github.io/Logging_0604/klagomålsmail/A 10010-2023 FSC-klagomål mail.docx", "A 10010-2023")</f>
        <v/>
      </c>
      <c r="AC39">
        <f>HYPERLINK("https://klasma.github.io/Logging_0604/tillsyn/A 10010-2023 tillsynsbegäran.docx", "A 10010-2023")</f>
        <v/>
      </c>
      <c r="AD39">
        <f>HYPERLINK("https://klasma.github.io/Logging_0604/tillsynsmail/A 10010-2023 tillsynsbegäran mail.docx", "A 10010-2023")</f>
        <v/>
      </c>
    </row>
    <row r="40" ht="15" customHeight="1">
      <c r="A40" t="inlineStr">
        <is>
          <t>A 36378-2026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46279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HYPERLINK("https://klasma.github.io/Logging_0604/artfynd/A 36378-2026 artfynd.xlsx", "A 36378-2026")</f>
        <v/>
      </c>
      <c r="X40">
        <f>HYPERLINK("https://klasma.github.io/Logging_0604/kartor/A 36378-2026 karta.png", "A 36378-2026")</f>
        <v/>
      </c>
      <c r="Y40">
        <f>HYPERLINK("https://klasma.github.io/Logging_0604/kartor_geotiff/A 36378-2026 georefererad karta.tif", "A 36378-2026")</f>
        <v/>
      </c>
      <c r="AA40">
        <f>HYPERLINK("https://klasma.github.io/Logging_0604/klagomål/A 36378-2026 FSC-klagomål.docx", "A 36378-2026")</f>
        <v/>
      </c>
      <c r="AB40">
        <f>HYPERLINK("https://klasma.github.io/Logging_0604/klagomålsmail/A 36378-2026 FSC-klagomål mail.docx", "A 36378-2026")</f>
        <v/>
      </c>
      <c r="AC40">
        <f>HYPERLINK("https://klasma.github.io/Logging_0604/tillsyn/A 36378-2026 tillsynsbegäran.docx", "A 36378-2026")</f>
        <v/>
      </c>
      <c r="AD40">
        <f>HYPERLINK("https://klasma.github.io/Logging_0604/tillsynsmail/A 36378-2026 tillsynsbegäran mail.docx", "A 36378-2026")</f>
        <v/>
      </c>
      <c r="AE40">
        <f>HYPERLINK("https://klasma.github.io/Logging_0604/fåglar/A 36378-2026 prioriterade fågelarter.docx", "A 36378-2026")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46279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46279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46279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46279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46279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46279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46279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46279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46279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46279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46279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46279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46279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46279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46279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46279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46279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46279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46279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46279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46279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46279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46279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46279</v>
      </c>
      <c r="F65" t="inlineStr">
        <is>
          <t>JÖNKÖPINGS LÄN</t>
        </is>
      </c>
      <c r="G65" t="inlineStr">
        <is>
          <t>ANEBY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46279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46279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46279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46279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46279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46279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46279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46279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46279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46279</v>
      </c>
      <c r="F76" t="inlineStr">
        <is>
          <t>JÖNKÖPINGS LÄN</t>
        </is>
      </c>
      <c r="G76" t="inlineStr">
        <is>
          <t>ANEBY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46279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46279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46279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46279</v>
      </c>
      <c r="F80" t="inlineStr">
        <is>
          <t>JÖNKÖPINGS LÄN</t>
        </is>
      </c>
      <c r="G80" t="inlineStr">
        <is>
          <t>ANEBY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46279</v>
      </c>
      <c r="F81" t="inlineStr">
        <is>
          <t>JÖNKÖPINGS LÄN</t>
        </is>
      </c>
      <c r="G81" t="inlineStr">
        <is>
          <t>ANEBY</t>
        </is>
      </c>
      <c r="H81" t="inlineStr">
        <is>
          <t>Övriga Aktiebolag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46279</v>
      </c>
      <c r="F82" t="inlineStr">
        <is>
          <t>JÖNKÖPINGS LÄN</t>
        </is>
      </c>
      <c r="G82" t="inlineStr">
        <is>
          <t>ANEBY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46279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46279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46279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46279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46279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46279</v>
      </c>
      <c r="F88" t="inlineStr">
        <is>
          <t>JÖNKÖPINGS LÄN</t>
        </is>
      </c>
      <c r="G88" t="inlineStr">
        <is>
          <t>ANEBY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46279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46279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46279</v>
      </c>
      <c r="F91" t="inlineStr">
        <is>
          <t>JÖNKÖPINGS LÄN</t>
        </is>
      </c>
      <c r="G91" t="inlineStr">
        <is>
          <t>ANEBY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46279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44890</v>
      </c>
      <c r="E93" s="1" t="n">
        <v>46279</v>
      </c>
      <c r="F93" t="inlineStr">
        <is>
          <t>JÖNKÖPINGS LÄN</t>
        </is>
      </c>
      <c r="G93" t="inlineStr">
        <is>
          <t>ANEBY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46279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46279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46279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46279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46279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46279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46279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12477-2023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44999</v>
      </c>
      <c r="E101" s="1" t="n">
        <v>46279</v>
      </c>
      <c r="F101" t="inlineStr">
        <is>
          <t>JÖNKÖPINGS LÄN</t>
        </is>
      </c>
      <c r="G101" t="inlineStr">
        <is>
          <t>ANEBY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46279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46279</v>
      </c>
      <c r="F103" t="inlineStr">
        <is>
          <t>JÖNKÖPINGS LÄN</t>
        </is>
      </c>
      <c r="G103" t="inlineStr">
        <is>
          <t>ANEBY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46279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46279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46279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16.8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45358</v>
      </c>
      <c r="E107" s="1" t="n">
        <v>46279</v>
      </c>
      <c r="F107" t="inlineStr">
        <is>
          <t>JÖNKÖPINGS LÄN</t>
        </is>
      </c>
      <c r="G107" t="inlineStr">
        <is>
          <t>ANEBY</t>
        </is>
      </c>
      <c r="H107" t="inlineStr">
        <is>
          <t>Sveaskog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46279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46279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46279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46279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46279</v>
      </c>
      <c r="F112" t="inlineStr">
        <is>
          <t>JÖNKÖPINGS LÄN</t>
        </is>
      </c>
      <c r="G112" t="inlineStr">
        <is>
          <t>ANEBY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46279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46279</v>
      </c>
      <c r="F114" t="inlineStr">
        <is>
          <t>JÖNKÖPINGS LÄN</t>
        </is>
      </c>
      <c r="G114" t="inlineStr">
        <is>
          <t>ANEBY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46279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46279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46279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46279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46279</v>
      </c>
      <c r="F119" t="inlineStr">
        <is>
          <t>JÖNKÖPINGS LÄN</t>
        </is>
      </c>
      <c r="G119" t="inlineStr">
        <is>
          <t>ANEBY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46279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46279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46279</v>
      </c>
      <c r="F122" t="inlineStr">
        <is>
          <t>JÖNKÖPINGS LÄN</t>
        </is>
      </c>
      <c r="G122" t="inlineStr">
        <is>
          <t>ANEBY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46279</v>
      </c>
      <c r="F123" t="inlineStr">
        <is>
          <t>JÖNKÖPINGS LÄN</t>
        </is>
      </c>
      <c r="G123" t="inlineStr">
        <is>
          <t>ANEBY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11565-2025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45727</v>
      </c>
      <c r="E124" s="1" t="n">
        <v>46279</v>
      </c>
      <c r="F124" t="inlineStr">
        <is>
          <t>JÖNKÖPINGS LÄN</t>
        </is>
      </c>
      <c r="G124" t="inlineStr">
        <is>
          <t>ANEBY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46279</v>
      </c>
      <c r="F125" t="inlineStr">
        <is>
          <t>JÖNKÖPINGS LÄN</t>
        </is>
      </c>
      <c r="G125" t="inlineStr">
        <is>
          <t>ANEBY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46279</v>
      </c>
      <c r="F126" t="inlineStr">
        <is>
          <t>JÖNKÖPINGS LÄN</t>
        </is>
      </c>
      <c r="G126" t="inlineStr">
        <is>
          <t>ANEBY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46279</v>
      </c>
      <c r="F127" t="inlineStr">
        <is>
          <t>JÖNKÖPINGS LÄN</t>
        </is>
      </c>
      <c r="G127" t="inlineStr">
        <is>
          <t>ANEBY</t>
        </is>
      </c>
      <c r="H127" t="inlineStr">
        <is>
          <t>Kyrkan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46279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46073</v>
      </c>
      <c r="E129" s="1" t="n">
        <v>46279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45911</v>
      </c>
      <c r="E130" s="1" t="n">
        <v>46279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46279</v>
      </c>
      <c r="F131" t="inlineStr">
        <is>
          <t>JÖNKÖPINGS LÄN</t>
        </is>
      </c>
      <c r="G131" t="inlineStr">
        <is>
          <t>ANEBY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46279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46279</v>
      </c>
      <c r="F133" t="inlineStr">
        <is>
          <t>JÖNKÖPINGS LÄN</t>
        </is>
      </c>
      <c r="G133" t="inlineStr">
        <is>
          <t>ANEBY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46279</v>
      </c>
      <c r="F134" t="inlineStr">
        <is>
          <t>JÖNKÖPINGS LÄN</t>
        </is>
      </c>
      <c r="G134" t="inlineStr">
        <is>
          <t>ANEBY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46279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46279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46279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46279</v>
      </c>
      <c r="F138" t="inlineStr">
        <is>
          <t>JÖNKÖPINGS LÄN</t>
        </is>
      </c>
      <c r="G138" t="inlineStr">
        <is>
          <t>ANEBY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46279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46279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46279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46279</v>
      </c>
      <c r="F142" t="inlineStr">
        <is>
          <t>JÖNKÖPINGS LÄN</t>
        </is>
      </c>
      <c r="G142" t="inlineStr">
        <is>
          <t>ANEBY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46279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46279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46279</v>
      </c>
      <c r="F145" t="inlineStr">
        <is>
          <t>JÖNKÖPINGS LÄN</t>
        </is>
      </c>
      <c r="G145" t="inlineStr">
        <is>
          <t>ANEBY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46279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46279</v>
      </c>
      <c r="F147" t="inlineStr">
        <is>
          <t>JÖNKÖPINGS LÄN</t>
        </is>
      </c>
      <c r="G147" t="inlineStr">
        <is>
          <t>ANEBY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45184</v>
      </c>
      <c r="E148" s="1" t="n">
        <v>46279</v>
      </c>
      <c r="F148" t="inlineStr">
        <is>
          <t>JÖNKÖPINGS LÄN</t>
        </is>
      </c>
      <c r="G148" t="inlineStr">
        <is>
          <t>ANEBY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46279</v>
      </c>
      <c r="F149" t="inlineStr">
        <is>
          <t>JÖNKÖPINGS LÄN</t>
        </is>
      </c>
      <c r="G149" t="inlineStr">
        <is>
          <t>ANEBY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46279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46279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46279</v>
      </c>
      <c r="F152" t="inlineStr">
        <is>
          <t>JÖNKÖPINGS LÄN</t>
        </is>
      </c>
      <c r="G152" t="inlineStr">
        <is>
          <t>ANEBY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23349-2023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45076</v>
      </c>
      <c r="E153" s="1" t="n">
        <v>46279</v>
      </c>
      <c r="F153" t="inlineStr">
        <is>
          <t>JÖNKÖPINGS LÄN</t>
        </is>
      </c>
      <c r="G153" t="inlineStr">
        <is>
          <t>ANEBY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46279</v>
      </c>
      <c r="F154" t="inlineStr">
        <is>
          <t>JÖNKÖPINGS LÄN</t>
        </is>
      </c>
      <c r="G154" t="inlineStr">
        <is>
          <t>ANEBY</t>
        </is>
      </c>
      <c r="H154" t="inlineStr">
        <is>
          <t>Övriga Aktiebolag</t>
        </is>
      </c>
      <c r="I154" t="n">
        <v>20.7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46279</v>
      </c>
      <c r="F155" t="inlineStr">
        <is>
          <t>JÖNKÖPINGS LÄN</t>
        </is>
      </c>
      <c r="G155" t="inlineStr">
        <is>
          <t>ANEBY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46279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46279</v>
      </c>
      <c r="F157" t="inlineStr">
        <is>
          <t>JÖNKÖPINGS LÄN</t>
        </is>
      </c>
      <c r="G157" t="inlineStr">
        <is>
          <t>ANEBY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46279</v>
      </c>
      <c r="F158" t="inlineStr">
        <is>
          <t>JÖNKÖPINGS LÄN</t>
        </is>
      </c>
      <c r="G158" t="inlineStr">
        <is>
          <t>ANEBY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45653</v>
      </c>
      <c r="E159" s="1" t="n">
        <v>46279</v>
      </c>
      <c r="F159" t="inlineStr">
        <is>
          <t>JÖNKÖPINGS LÄN</t>
        </is>
      </c>
      <c r="G159" t="inlineStr">
        <is>
          <t>ANEBY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45691</v>
      </c>
      <c r="E160" s="1" t="n">
        <v>46279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44477</v>
      </c>
      <c r="E161" s="1" t="n">
        <v>46279</v>
      </c>
      <c r="F161" t="inlineStr">
        <is>
          <t>JÖNKÖPINGS LÄN</t>
        </is>
      </c>
      <c r="G161" t="inlineStr">
        <is>
          <t>ANEBY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46279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46104</v>
      </c>
      <c r="E163" s="1" t="n">
        <v>46279</v>
      </c>
      <c r="F163" t="inlineStr">
        <is>
          <t>JÖNKÖPINGS LÄN</t>
        </is>
      </c>
      <c r="G163" t="inlineStr">
        <is>
          <t>ANEBY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46279</v>
      </c>
      <c r="F164" t="inlineStr">
        <is>
          <t>JÖNKÖPINGS LÄN</t>
        </is>
      </c>
      <c r="G164" t="inlineStr">
        <is>
          <t>ANEBY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46279</v>
      </c>
      <c r="F165" t="inlineStr">
        <is>
          <t>JÖNKÖPINGS LÄN</t>
        </is>
      </c>
      <c r="G165" t="inlineStr">
        <is>
          <t>ANEBY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46279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46279</v>
      </c>
      <c r="F167" t="inlineStr">
        <is>
          <t>JÖNKÖPINGS LÄN</t>
        </is>
      </c>
      <c r="G167" t="inlineStr">
        <is>
          <t>ANEBY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46279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45033</v>
      </c>
      <c r="E169" s="1" t="n">
        <v>46279</v>
      </c>
      <c r="F169" t="inlineStr">
        <is>
          <t>JÖNKÖPINGS LÄN</t>
        </is>
      </c>
      <c r="G169" t="inlineStr">
        <is>
          <t>ANEBY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46279</v>
      </c>
      <c r="F170" t="inlineStr">
        <is>
          <t>JÖNKÖPINGS LÄN</t>
        </is>
      </c>
      <c r="G170" t="inlineStr">
        <is>
          <t>ANEBY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46279</v>
      </c>
      <c r="F171" t="inlineStr">
        <is>
          <t>JÖNKÖPINGS LÄN</t>
        </is>
      </c>
      <c r="G171" t="inlineStr">
        <is>
          <t>ANEBY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46279</v>
      </c>
      <c r="F172" t="inlineStr">
        <is>
          <t>JÖNKÖPINGS LÄN</t>
        </is>
      </c>
      <c r="G172" t="inlineStr">
        <is>
          <t>ANEBY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45772</v>
      </c>
      <c r="E173" s="1" t="n">
        <v>46279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46279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46279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46279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46279</v>
      </c>
      <c r="F177" t="inlineStr">
        <is>
          <t>JÖNKÖPINGS LÄN</t>
        </is>
      </c>
      <c r="G177" t="inlineStr">
        <is>
          <t>ANEBY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46279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44606</v>
      </c>
      <c r="E179" s="1" t="n">
        <v>46279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46279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46279</v>
      </c>
      <c r="F181" t="inlineStr">
        <is>
          <t>JÖNKÖPINGS LÄN</t>
        </is>
      </c>
      <c r="G181" t="inlineStr">
        <is>
          <t>ANEBY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45016</v>
      </c>
      <c r="E182" s="1" t="n">
        <v>46279</v>
      </c>
      <c r="F182" t="inlineStr">
        <is>
          <t>JÖNKÖPINGS LÄN</t>
        </is>
      </c>
      <c r="G182" t="inlineStr">
        <is>
          <t>ANEBY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46279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23354-2023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45076</v>
      </c>
      <c r="E184" s="1" t="n">
        <v>46279</v>
      </c>
      <c r="F184" t="inlineStr">
        <is>
          <t>JÖNKÖPINGS LÄN</t>
        </is>
      </c>
      <c r="G184" t="inlineStr">
        <is>
          <t>ANEBY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46279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46279</v>
      </c>
      <c r="F186" t="inlineStr">
        <is>
          <t>JÖNKÖPINGS LÄN</t>
        </is>
      </c>
      <c r="G186" t="inlineStr">
        <is>
          <t>ANEBY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46279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46279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46279</v>
      </c>
      <c r="F189" t="inlineStr">
        <is>
          <t>JÖNKÖPINGS LÄN</t>
        </is>
      </c>
      <c r="G189" t="inlineStr">
        <is>
          <t>ANEBY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46279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46279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46279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46279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46279</v>
      </c>
      <c r="F194" t="inlineStr">
        <is>
          <t>JÖNKÖPINGS LÄN</t>
        </is>
      </c>
      <c r="G194" t="inlineStr">
        <is>
          <t>ANEBY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44461</v>
      </c>
      <c r="E195" s="1" t="n">
        <v>46279</v>
      </c>
      <c r="F195" t="inlineStr">
        <is>
          <t>JÖNKÖPINGS LÄN</t>
        </is>
      </c>
      <c r="G195" t="inlineStr">
        <is>
          <t>ANEBY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46279</v>
      </c>
      <c r="F196" t="inlineStr">
        <is>
          <t>JÖNKÖPINGS LÄN</t>
        </is>
      </c>
      <c r="G196" t="inlineStr">
        <is>
          <t>ANEBY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46279</v>
      </c>
      <c r="F197" t="inlineStr">
        <is>
          <t>JÖNKÖPINGS LÄN</t>
        </is>
      </c>
      <c r="G197" t="inlineStr">
        <is>
          <t>ANEBY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46279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46279</v>
      </c>
      <c r="F199" t="inlineStr">
        <is>
          <t>JÖNKÖPINGS LÄN</t>
        </is>
      </c>
      <c r="G199" t="inlineStr">
        <is>
          <t>ANEBY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46279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46279</v>
      </c>
      <c r="F201" t="inlineStr">
        <is>
          <t>JÖNKÖPINGS LÄN</t>
        </is>
      </c>
      <c r="G201" t="inlineStr">
        <is>
          <t>ANEBY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46279</v>
      </c>
      <c r="F202" t="inlineStr">
        <is>
          <t>JÖNKÖPINGS LÄN</t>
        </is>
      </c>
      <c r="G202" t="inlineStr">
        <is>
          <t>ANEBY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59507-2022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44900</v>
      </c>
      <c r="E203" s="1" t="n">
        <v>46279</v>
      </c>
      <c r="F203" t="inlineStr">
        <is>
          <t>JÖNKÖPINGS LÄN</t>
        </is>
      </c>
      <c r="G203" t="inlineStr">
        <is>
          <t>ANEBY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46279</v>
      </c>
      <c r="F204" t="inlineStr">
        <is>
          <t>JÖNKÖPINGS LÄN</t>
        </is>
      </c>
      <c r="G204" t="inlineStr">
        <is>
          <t>ANEBY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46279</v>
      </c>
      <c r="F205" t="inlineStr">
        <is>
          <t>JÖNKÖPINGS LÄN</t>
        </is>
      </c>
      <c r="G205" t="inlineStr">
        <is>
          <t>ANEBY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56735-2021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46279</v>
      </c>
      <c r="F206" t="inlineStr">
        <is>
          <t>JÖNKÖPINGS LÄN</t>
        </is>
      </c>
      <c r="G206" t="inlineStr">
        <is>
          <t>ANEBY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46020</v>
      </c>
      <c r="E207" s="1" t="n">
        <v>46279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46279</v>
      </c>
      <c r="F208" t="inlineStr">
        <is>
          <t>JÖNKÖPINGS LÄN</t>
        </is>
      </c>
      <c r="G208" t="inlineStr">
        <is>
          <t>ANEBY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46279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46279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46279</v>
      </c>
      <c r="F211" t="inlineStr">
        <is>
          <t>JÖNKÖPINGS LÄN</t>
        </is>
      </c>
      <c r="G211" t="inlineStr">
        <is>
          <t>ANEBY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45122</v>
      </c>
      <c r="E212" s="1" t="n">
        <v>46279</v>
      </c>
      <c r="F212" t="inlineStr">
        <is>
          <t>JÖNKÖPINGS LÄN</t>
        </is>
      </c>
      <c r="G212" t="inlineStr">
        <is>
          <t>ANEBY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46279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46279</v>
      </c>
      <c r="F214" t="inlineStr">
        <is>
          <t>JÖNKÖPINGS LÄN</t>
        </is>
      </c>
      <c r="G214" t="inlineStr">
        <is>
          <t>ANEBY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46279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46279</v>
      </c>
      <c r="F216" t="inlineStr">
        <is>
          <t>JÖNKÖPINGS LÄN</t>
        </is>
      </c>
      <c r="G216" t="inlineStr">
        <is>
          <t>ANEBY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44959</v>
      </c>
      <c r="E217" s="1" t="n">
        <v>46279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45304</v>
      </c>
      <c r="E218" s="1" t="n">
        <v>46279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46279</v>
      </c>
      <c r="F219" t="inlineStr">
        <is>
          <t>JÖNKÖPINGS LÄN</t>
        </is>
      </c>
      <c r="G219" t="inlineStr">
        <is>
          <t>ANEBY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46279</v>
      </c>
      <c r="F220" t="inlineStr">
        <is>
          <t>JÖNKÖPINGS LÄN</t>
        </is>
      </c>
      <c r="G220" t="inlineStr">
        <is>
          <t>ANEBY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45161</v>
      </c>
      <c r="E221" s="1" t="n">
        <v>46279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21026-2024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45439</v>
      </c>
      <c r="E222" s="1" t="n">
        <v>46279</v>
      </c>
      <c r="F222" t="inlineStr">
        <is>
          <t>JÖNKÖPINGS LÄN</t>
        </is>
      </c>
      <c r="G222" t="inlineStr">
        <is>
          <t>ANEBY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46279</v>
      </c>
      <c r="F223" t="inlineStr">
        <is>
          <t>JÖNKÖPINGS LÄN</t>
        </is>
      </c>
      <c r="G223" t="inlineStr">
        <is>
          <t>ANEBY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6827-2026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46057</v>
      </c>
      <c r="E224" s="1" t="n">
        <v>46279</v>
      </c>
      <c r="F224" t="inlineStr">
        <is>
          <t>JÖNKÖPINGS LÄN</t>
        </is>
      </c>
      <c r="G224" t="inlineStr">
        <is>
          <t>ANEBY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46279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46058</v>
      </c>
      <c r="E226" s="1" t="n">
        <v>46279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46279</v>
      </c>
      <c r="F227" t="inlineStr">
        <is>
          <t>JÖNKÖPINGS LÄN</t>
        </is>
      </c>
      <c r="G227" t="inlineStr">
        <is>
          <t>ANEBY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46279</v>
      </c>
      <c r="F228" t="inlineStr">
        <is>
          <t>JÖNKÖPINGS LÄN</t>
        </is>
      </c>
      <c r="G228" t="inlineStr">
        <is>
          <t>ANEBY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46279</v>
      </c>
      <c r="F229" t="inlineStr">
        <is>
          <t>JÖNKÖPINGS LÄN</t>
        </is>
      </c>
      <c r="G229" t="inlineStr">
        <is>
          <t>ANEBY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46279</v>
      </c>
      <c r="F230" t="inlineStr">
        <is>
          <t>JÖNKÖPINGS LÄN</t>
        </is>
      </c>
      <c r="G230" t="inlineStr">
        <is>
          <t>ANEBY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46279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46279</v>
      </c>
      <c r="F232" t="inlineStr">
        <is>
          <t>JÖNKÖPINGS LÄN</t>
        </is>
      </c>
      <c r="G232" t="inlineStr">
        <is>
          <t>ANEBY</t>
        </is>
      </c>
      <c r="I232" t="n">
        <v>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45552</v>
      </c>
      <c r="E233" s="1" t="n">
        <v>46279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46279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51160-2021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44461</v>
      </c>
      <c r="E235" s="1" t="n">
        <v>46279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45126</v>
      </c>
      <c r="E236" s="1" t="n">
        <v>46279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50069-2024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45600</v>
      </c>
      <c r="E237" s="1" t="n">
        <v>46279</v>
      </c>
      <c r="F237" t="inlineStr">
        <is>
          <t>JÖNKÖPINGS LÄN</t>
        </is>
      </c>
      <c r="G237" t="inlineStr">
        <is>
          <t>ANEBY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54213-2024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45616</v>
      </c>
      <c r="E238" s="1" t="n">
        <v>46279</v>
      </c>
      <c r="F238" t="inlineStr">
        <is>
          <t>JÖNKÖPINGS LÄN</t>
        </is>
      </c>
      <c r="G238" t="inlineStr">
        <is>
          <t>ANEBY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46279</v>
      </c>
      <c r="F239" t="inlineStr">
        <is>
          <t>JÖNKÖPINGS LÄN</t>
        </is>
      </c>
      <c r="G239" t="inlineStr">
        <is>
          <t>ANEBY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44578</v>
      </c>
      <c r="E240" s="1" t="n">
        <v>46279</v>
      </c>
      <c r="F240" t="inlineStr">
        <is>
          <t>JÖNKÖPINGS LÄN</t>
        </is>
      </c>
      <c r="G240" t="inlineStr">
        <is>
          <t>ANEBY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46279</v>
      </c>
      <c r="F241" t="inlineStr">
        <is>
          <t>JÖNKÖPINGS LÄN</t>
        </is>
      </c>
      <c r="G241" t="inlineStr">
        <is>
          <t>ANEBY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46279</v>
      </c>
      <c r="F242" t="inlineStr">
        <is>
          <t>JÖNKÖPINGS LÄN</t>
        </is>
      </c>
      <c r="G242" t="inlineStr">
        <is>
          <t>ANEBY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45124</v>
      </c>
      <c r="E243" s="1" t="n">
        <v>46279</v>
      </c>
      <c r="F243" t="inlineStr">
        <is>
          <t>JÖNKÖPINGS LÄN</t>
        </is>
      </c>
      <c r="G243" t="inlineStr">
        <is>
          <t>ANEBY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21356-2026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46147</v>
      </c>
      <c r="E244" s="1" t="n">
        <v>46279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46279</v>
      </c>
      <c r="F245" t="inlineStr">
        <is>
          <t>JÖNKÖPINGS LÄN</t>
        </is>
      </c>
      <c r="G245" t="inlineStr">
        <is>
          <t>ANEBY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45000</v>
      </c>
      <c r="E246" s="1" t="n">
        <v>46279</v>
      </c>
      <c r="F246" t="inlineStr">
        <is>
          <t>JÖNKÖPINGS LÄN</t>
        </is>
      </c>
      <c r="G246" t="inlineStr">
        <is>
          <t>ANEBY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46279</v>
      </c>
      <c r="F247" t="inlineStr">
        <is>
          <t>JÖNKÖPINGS LÄN</t>
        </is>
      </c>
      <c r="G247" t="inlineStr">
        <is>
          <t>ANEBY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46279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46279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46279</v>
      </c>
      <c r="F250" t="inlineStr">
        <is>
          <t>JÖNKÖPINGS LÄN</t>
        </is>
      </c>
      <c r="G250" t="inlineStr">
        <is>
          <t>ANEBY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46279</v>
      </c>
      <c r="F251" t="inlineStr">
        <is>
          <t>JÖNKÖPINGS LÄN</t>
        </is>
      </c>
      <c r="G251" t="inlineStr">
        <is>
          <t>ANEBY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46279</v>
      </c>
      <c r="F252" t="inlineStr">
        <is>
          <t>JÖNKÖPINGS LÄN</t>
        </is>
      </c>
      <c r="G252" t="inlineStr">
        <is>
          <t>ANEBY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45364</v>
      </c>
      <c r="E253" s="1" t="n">
        <v>46279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46279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46279</v>
      </c>
      <c r="F255" t="inlineStr">
        <is>
          <t>JÖNKÖPINGS LÄN</t>
        </is>
      </c>
      <c r="G255" t="inlineStr">
        <is>
          <t>ANEBY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45198</v>
      </c>
      <c r="E256" s="1" t="n">
        <v>46279</v>
      </c>
      <c r="F256" t="inlineStr">
        <is>
          <t>JÖNKÖPINGS LÄN</t>
        </is>
      </c>
      <c r="G256" t="inlineStr">
        <is>
          <t>ANEBY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46279</v>
      </c>
      <c r="F257" t="inlineStr">
        <is>
          <t>JÖNKÖPINGS LÄN</t>
        </is>
      </c>
      <c r="G257" t="inlineStr">
        <is>
          <t>ANEBY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46279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46279</v>
      </c>
      <c r="F259" t="inlineStr">
        <is>
          <t>JÖNKÖPINGS LÄN</t>
        </is>
      </c>
      <c r="G259" t="inlineStr">
        <is>
          <t>ANEBY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45146</v>
      </c>
      <c r="E260" s="1" t="n">
        <v>46279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46279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46279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44623</v>
      </c>
      <c r="E263" s="1" t="n">
        <v>46279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46279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46279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46279</v>
      </c>
      <c r="F266" t="inlineStr">
        <is>
          <t>JÖNKÖPINGS LÄN</t>
        </is>
      </c>
      <c r="G266" t="inlineStr">
        <is>
          <t>ANEBY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46279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44700</v>
      </c>
      <c r="E268" s="1" t="n">
        <v>46279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46279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46176</v>
      </c>
      <c r="E270" s="1" t="n">
        <v>46279</v>
      </c>
      <c r="F270" t="inlineStr">
        <is>
          <t>JÖNKÖPINGS LÄN</t>
        </is>
      </c>
      <c r="G270" t="inlineStr">
        <is>
          <t>ANEBY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44739</v>
      </c>
      <c r="E271" s="1" t="n">
        <v>46279</v>
      </c>
      <c r="F271" t="inlineStr">
        <is>
          <t>JÖNKÖPINGS LÄN</t>
        </is>
      </c>
      <c r="G271" t="inlineStr">
        <is>
          <t>ANEBY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46279</v>
      </c>
      <c r="F272" t="inlineStr">
        <is>
          <t>JÖNKÖPINGS LÄN</t>
        </is>
      </c>
      <c r="G272" t="inlineStr">
        <is>
          <t>ANEBY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46279</v>
      </c>
      <c r="F273" t="inlineStr">
        <is>
          <t>JÖNKÖPINGS LÄN</t>
        </is>
      </c>
      <c r="G273" t="inlineStr">
        <is>
          <t>ANEBY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45762</v>
      </c>
      <c r="E274" s="1" t="n">
        <v>46279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46279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45300</v>
      </c>
      <c r="E276" s="1" t="n">
        <v>46279</v>
      </c>
      <c r="F276" t="inlineStr">
        <is>
          <t>JÖNKÖPINGS LÄN</t>
        </is>
      </c>
      <c r="G276" t="inlineStr">
        <is>
          <t>ANEBY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19362-2025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45769</v>
      </c>
      <c r="E277" s="1" t="n">
        <v>46279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46279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46279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46279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46279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46279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46279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46279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46279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46279</v>
      </c>
      <c r="F286" t="inlineStr">
        <is>
          <t>JÖNKÖPINGS LÄN</t>
        </is>
      </c>
      <c r="G286" t="inlineStr">
        <is>
          <t>ANEBY</t>
        </is>
      </c>
      <c r="I286" t="n">
        <v>17.9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44847</v>
      </c>
      <c r="E287" s="1" t="n">
        <v>46279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46279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57170-2021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44482</v>
      </c>
      <c r="E289" s="1" t="n">
        <v>46279</v>
      </c>
      <c r="F289" t="inlineStr">
        <is>
          <t>JÖNKÖPINGS LÄN</t>
        </is>
      </c>
      <c r="G289" t="inlineStr">
        <is>
          <t>ANEBY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46279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46279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46279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46279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46279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46279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67414-2021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44524</v>
      </c>
      <c r="E296" s="1" t="n">
        <v>46279</v>
      </c>
      <c r="F296" t="inlineStr">
        <is>
          <t>JÖNKÖPINGS LÄN</t>
        </is>
      </c>
      <c r="G296" t="inlineStr">
        <is>
          <t>ANEBY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44565</v>
      </c>
      <c r="E297" s="1" t="n">
        <v>46279</v>
      </c>
      <c r="F297" t="inlineStr">
        <is>
          <t>JÖNKÖPINGS LÄN</t>
        </is>
      </c>
      <c r="G297" t="inlineStr">
        <is>
          <t>ANEBY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46279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46279</v>
      </c>
      <c r="F299" t="inlineStr">
        <is>
          <t>JÖNKÖPINGS LÄN</t>
        </is>
      </c>
      <c r="G299" t="inlineStr">
        <is>
          <t>ANEBY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44957</v>
      </c>
      <c r="E300" s="1" t="n">
        <v>46279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45148</v>
      </c>
      <c r="E301" s="1" t="n">
        <v>46279</v>
      </c>
      <c r="F301" t="inlineStr">
        <is>
          <t>JÖNKÖPINGS LÄN</t>
        </is>
      </c>
      <c r="G301" t="inlineStr">
        <is>
          <t>ANEBY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44888</v>
      </c>
      <c r="E302" s="1" t="n">
        <v>46279</v>
      </c>
      <c r="F302" t="inlineStr">
        <is>
          <t>JÖNKÖPINGS LÄN</t>
        </is>
      </c>
      <c r="G302" t="inlineStr">
        <is>
          <t>ANEBY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46279</v>
      </c>
      <c r="F303" t="inlineStr">
        <is>
          <t>JÖNKÖPINGS LÄN</t>
        </is>
      </c>
      <c r="G303" t="inlineStr">
        <is>
          <t>ANEBY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46279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46279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46279</v>
      </c>
      <c r="F306" t="inlineStr">
        <is>
          <t>JÖNKÖPINGS LÄN</t>
        </is>
      </c>
      <c r="G306" t="inlineStr">
        <is>
          <t>ANEBY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45300</v>
      </c>
      <c r="E307" s="1" t="n">
        <v>46279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46279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46279</v>
      </c>
      <c r="F309" t="inlineStr">
        <is>
          <t>JÖNKÖPINGS LÄN</t>
        </is>
      </c>
      <c r="G309" t="inlineStr">
        <is>
          <t>ANEBY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46279</v>
      </c>
      <c r="F310" t="inlineStr">
        <is>
          <t>JÖNKÖPINGS LÄN</t>
        </is>
      </c>
      <c r="G310" t="inlineStr">
        <is>
          <t>ANEBY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46279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46279</v>
      </c>
      <c r="F312" t="inlineStr">
        <is>
          <t>JÖNKÖPINGS LÄN</t>
        </is>
      </c>
      <c r="G312" t="inlineStr">
        <is>
          <t>ANEBY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34850-2026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46255</v>
      </c>
      <c r="E313" s="1" t="n">
        <v>46279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46214</v>
      </c>
      <c r="E314" s="1" t="n">
        <v>46279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46214</v>
      </c>
      <c r="E315" s="1" t="n">
        <v>46279</v>
      </c>
      <c r="F315" t="inlineStr">
        <is>
          <t>JÖNKÖPINGS LÄN</t>
        </is>
      </c>
      <c r="G315" t="inlineStr">
        <is>
          <t>ANEBY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46214</v>
      </c>
      <c r="E316" s="1" t="n">
        <v>46279</v>
      </c>
      <c r="F316" t="inlineStr">
        <is>
          <t>JÖNKÖPINGS LÄN</t>
        </is>
      </c>
      <c r="G316" t="inlineStr">
        <is>
          <t>ANEBY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46279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45586</v>
      </c>
      <c r="E318" s="1" t="n">
        <v>46279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18.6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46279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46279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46279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46265</v>
      </c>
      <c r="E322" s="1" t="n">
        <v>46279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46279</v>
      </c>
      <c r="F323" t="inlineStr">
        <is>
          <t>JÖNKÖPINGS LÄN</t>
        </is>
      </c>
      <c r="G323" t="inlineStr">
        <is>
          <t>ANEBY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46224</v>
      </c>
      <c r="E324" s="1" t="n">
        <v>46279</v>
      </c>
      <c r="F324" t="inlineStr">
        <is>
          <t>JÖNKÖPINGS LÄN</t>
        </is>
      </c>
      <c r="G324" t="inlineStr">
        <is>
          <t>ANEBY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46279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46279</v>
      </c>
      <c r="F326" t="inlineStr">
        <is>
          <t>JÖNKÖPINGS LÄN</t>
        </is>
      </c>
      <c r="G326" t="inlineStr">
        <is>
          <t>ANEBY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46279</v>
      </c>
      <c r="F327" t="inlineStr">
        <is>
          <t>JÖNKÖPINGS LÄN</t>
        </is>
      </c>
      <c r="G327" t="inlineStr">
        <is>
          <t>ANEBY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46279</v>
      </c>
      <c r="F328" t="inlineStr">
        <is>
          <t>JÖNKÖPINGS LÄN</t>
        </is>
      </c>
      <c r="G328" t="inlineStr">
        <is>
          <t>ANEBY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46279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46279</v>
      </c>
      <c r="F330" t="inlineStr">
        <is>
          <t>JÖNKÖPINGS LÄN</t>
        </is>
      </c>
      <c r="G330" t="inlineStr">
        <is>
          <t>ANEBY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46279</v>
      </c>
      <c r="F331" t="inlineStr">
        <is>
          <t>JÖNKÖPINGS LÄN</t>
        </is>
      </c>
      <c r="G331" t="inlineStr">
        <is>
          <t>ANEBY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46279</v>
      </c>
      <c r="F332" t="inlineStr">
        <is>
          <t>JÖNKÖPINGS LÄN</t>
        </is>
      </c>
      <c r="G332" t="inlineStr">
        <is>
          <t>ANEBY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46279</v>
      </c>
      <c r="F333" t="inlineStr">
        <is>
          <t>JÖNKÖPINGS LÄN</t>
        </is>
      </c>
      <c r="G333" t="inlineStr">
        <is>
          <t>ANEBY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46279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46279</v>
      </c>
      <c r="F335" t="inlineStr">
        <is>
          <t>JÖNKÖPINGS LÄN</t>
        </is>
      </c>
      <c r="G335" t="inlineStr">
        <is>
          <t>ANEBY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46279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46279</v>
      </c>
      <c r="F337" t="inlineStr">
        <is>
          <t>JÖNKÖPINGS LÄN</t>
        </is>
      </c>
      <c r="G337" t="inlineStr">
        <is>
          <t>ANEBY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45077</v>
      </c>
      <c r="E338" s="1" t="n">
        <v>46279</v>
      </c>
      <c r="F338" t="inlineStr">
        <is>
          <t>JÖNKÖPINGS LÄN</t>
        </is>
      </c>
      <c r="G338" t="inlineStr">
        <is>
          <t>ANEBY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45537</v>
      </c>
      <c r="E339" s="1" t="n">
        <v>46279</v>
      </c>
      <c r="F339" t="inlineStr">
        <is>
          <t>JÖNKÖPINGS LÄN</t>
        </is>
      </c>
      <c r="G339" t="inlineStr">
        <is>
          <t>ANEBY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46279</v>
      </c>
      <c r="F340" t="inlineStr">
        <is>
          <t>JÖNKÖPINGS LÄN</t>
        </is>
      </c>
      <c r="G340" t="inlineStr">
        <is>
          <t>ANEBY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46279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46279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46279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46279</v>
      </c>
      <c r="F344" t="inlineStr">
        <is>
          <t>JÖNKÖPINGS LÄN</t>
        </is>
      </c>
      <c r="G344" t="inlineStr">
        <is>
          <t>ANEBY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46279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46279</v>
      </c>
      <c r="F346" t="inlineStr">
        <is>
          <t>JÖNKÖPINGS LÄN</t>
        </is>
      </c>
      <c r="G346" t="inlineStr">
        <is>
          <t>ANEBY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46279</v>
      </c>
      <c r="F347" t="inlineStr">
        <is>
          <t>JÖNKÖPINGS LÄN</t>
        </is>
      </c>
      <c r="G347" t="inlineStr">
        <is>
          <t>ANEBY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46279</v>
      </c>
      <c r="F348" t="inlineStr">
        <is>
          <t>JÖNKÖPINGS LÄN</t>
        </is>
      </c>
      <c r="G348" t="inlineStr">
        <is>
          <t>ANEBY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45812</v>
      </c>
      <c r="E349" s="1" t="n">
        <v>46279</v>
      </c>
      <c r="F349" t="inlineStr">
        <is>
          <t>JÖNKÖPINGS LÄN</t>
        </is>
      </c>
      <c r="G349" t="inlineStr">
        <is>
          <t>ANEBY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46279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46279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46279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46279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46279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46279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46279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46279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46279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46279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46279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46279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46279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46279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2026-09-14T02:17:55Z</dcterms:created>
  <dcterms:modified xmlns:dcterms="http://purl.org/dc/terms/" xmlns:xsi="http://www.w3.org/2001/XMLSchema-instance" xsi:type="dcterms:W3CDTF">2026-09-14T02:17:55Z</dcterms:modified>
</cp:coreProperties>
</file>