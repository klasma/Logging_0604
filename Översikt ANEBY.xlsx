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46265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46265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46265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46265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46265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46265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46265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46265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46265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46265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46265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46265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46265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46265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46265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46265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46265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46265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46265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46265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46265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46265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46265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46265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46265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46265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46265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46265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46265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46265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46265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46265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46265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HYPERLINK("https://klasma.github.io/Logging_0604/artfynd/A 10010-2023 artfynd.xlsx", "A 10010-2023")</f>
        <v/>
      </c>
      <c r="X38">
        <f>HYPERLINK("https://klasma.github.io/Logging_0604/kartor/A 10010-2023 karta.png", "A 10010-2023")</f>
        <v/>
      </c>
      <c r="Y38">
        <f>HYPERLINK("https://klasma.github.io/Logging_0604/kartor_geotiff/A 10010-2023 georefererad karta.tif", "A 10010-2023")</f>
        <v/>
      </c>
      <c r="AA38">
        <f>HYPERLINK("https://klasma.github.io/Logging_0604/klagomål/A 10010-2023 FSC-klagomål.docx", "A 10010-2023")</f>
        <v/>
      </c>
      <c r="AB38">
        <f>HYPERLINK("https://klasma.github.io/Logging_0604/klagomålsmail/A 10010-2023 FSC-klagomål mail.docx", "A 10010-2023")</f>
        <v/>
      </c>
      <c r="AC38">
        <f>HYPERLINK("https://klasma.github.io/Logging_0604/tillsyn/A 10010-2023 tillsynsbegäran.docx", "A 10010-2023")</f>
        <v/>
      </c>
      <c r="AD38">
        <f>HYPERLINK("https://klasma.github.io/Logging_0604/tillsynsmail/A 10010-2023 tillsynsbegäran mail.docx", "A 10010-2023")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46265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46265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HYPERLINK("https://klasma.github.io/Logging_0604/artfynd/A 25875-2024 artfynd.xlsx", "A 25875-2024")</f>
        <v/>
      </c>
      <c r="X40">
        <f>HYPERLINK("https://klasma.github.io/Logging_0604/kartor/A 25875-2024 karta.png", "A 25875-2024")</f>
        <v/>
      </c>
      <c r="Y40">
        <f>HYPERLINK("https://klasma.github.io/Logging_0604/kartor_geotiff/A 25875-2024 georefererad karta.tif", "A 25875-2024")</f>
        <v/>
      </c>
      <c r="AA40">
        <f>HYPERLINK("https://klasma.github.io/Logging_0604/klagomål/A 25875-2024 FSC-klagomål.docx", "A 25875-2024")</f>
        <v/>
      </c>
      <c r="AB40">
        <f>HYPERLINK("https://klasma.github.io/Logging_0604/klagomålsmail/A 25875-2024 FSC-klagomål mail.docx", "A 25875-2024")</f>
        <v/>
      </c>
      <c r="AC40">
        <f>HYPERLINK("https://klasma.github.io/Logging_0604/tillsyn/A 25875-2024 tillsynsbegäran.docx", "A 25875-2024")</f>
        <v/>
      </c>
      <c r="AD40">
        <f>HYPERLINK("https://klasma.github.io/Logging_0604/tillsynsmail/A 25875-2024 tillsynsbegäran mail.docx", "A 25875-2024")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46265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46265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46265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46265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46265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46265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46265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46265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46265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46265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46265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46265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46265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46265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46265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46265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46265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46265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46265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46265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46265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46265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46265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46265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46265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46265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46265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46265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46265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46265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46265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46265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46265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46265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46265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46265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45953</v>
      </c>
      <c r="E80" s="1" t="n">
        <v>46265</v>
      </c>
      <c r="F80" t="inlineStr">
        <is>
          <t>JÖNKÖPINGS LÄN</t>
        </is>
      </c>
      <c r="G80" t="inlineStr">
        <is>
          <t>ANEBY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45001</v>
      </c>
      <c r="E81" s="1" t="n">
        <v>46265</v>
      </c>
      <c r="F81" t="inlineStr">
        <is>
          <t>JÖNKÖPINGS LÄN</t>
        </is>
      </c>
      <c r="G81" t="inlineStr">
        <is>
          <t>ANEBY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46265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46265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46265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46265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45250</v>
      </c>
      <c r="E86" s="1" t="n">
        <v>46265</v>
      </c>
      <c r="F86" t="inlineStr">
        <is>
          <t>JÖNKÖPINGS LÄN</t>
        </is>
      </c>
      <c r="G86" t="inlineStr">
        <is>
          <t>ANEBY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46265</v>
      </c>
      <c r="F87" t="inlineStr">
        <is>
          <t>JÖNKÖPINGS LÄN</t>
        </is>
      </c>
      <c r="G87" t="inlineStr">
        <is>
          <t>ANEBY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46265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46265</v>
      </c>
      <c r="F89" t="inlineStr">
        <is>
          <t>JÖNKÖPINGS LÄN</t>
        </is>
      </c>
      <c r="G89" t="inlineStr">
        <is>
          <t>ANEBY</t>
        </is>
      </c>
      <c r="H89" t="inlineStr">
        <is>
          <t>Övriga Aktiebolag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45461</v>
      </c>
      <c r="E90" s="1" t="n">
        <v>46265</v>
      </c>
      <c r="F90" t="inlineStr">
        <is>
          <t>JÖNKÖPINGS LÄN</t>
        </is>
      </c>
      <c r="G90" t="inlineStr">
        <is>
          <t>ANEBY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49133-2022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44860</v>
      </c>
      <c r="E91" s="1" t="n">
        <v>46265</v>
      </c>
      <c r="F91" t="inlineStr">
        <is>
          <t>JÖNKÖPINGS LÄN</t>
        </is>
      </c>
      <c r="G91" t="inlineStr">
        <is>
          <t>ANEBY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46265</v>
      </c>
      <c r="F92" t="inlineStr">
        <is>
          <t>JÖNKÖPINGS LÄN</t>
        </is>
      </c>
      <c r="G92" t="inlineStr">
        <is>
          <t>ANEBY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46265</v>
      </c>
      <c r="F93" t="inlineStr">
        <is>
          <t>JÖNKÖPINGS LÄN</t>
        </is>
      </c>
      <c r="G93" t="inlineStr">
        <is>
          <t>ANEBY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46265</v>
      </c>
      <c r="F94" t="inlineStr">
        <is>
          <t>JÖNKÖPINGS LÄN</t>
        </is>
      </c>
      <c r="G94" t="inlineStr">
        <is>
          <t>ANEBY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46265</v>
      </c>
      <c r="F95" t="inlineStr">
        <is>
          <t>JÖNKÖPINGS LÄN</t>
        </is>
      </c>
      <c r="G95" t="inlineStr">
        <is>
          <t>ANEBY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46265</v>
      </c>
      <c r="F96" t="inlineStr">
        <is>
          <t>JÖNKÖPINGS LÄN</t>
        </is>
      </c>
      <c r="G96" t="inlineStr">
        <is>
          <t>ANEBY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46265</v>
      </c>
      <c r="F97" t="inlineStr">
        <is>
          <t>JÖNKÖPINGS LÄN</t>
        </is>
      </c>
      <c r="G97" t="inlineStr">
        <is>
          <t>ANEBY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46265</v>
      </c>
      <c r="F98" t="inlineStr">
        <is>
          <t>JÖNKÖPINGS LÄN</t>
        </is>
      </c>
      <c r="G98" t="inlineStr">
        <is>
          <t>ANEBY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46265</v>
      </c>
      <c r="F99" t="inlineStr">
        <is>
          <t>JÖNKÖPINGS LÄN</t>
        </is>
      </c>
      <c r="G99" t="inlineStr">
        <is>
          <t>ANEBY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46265</v>
      </c>
      <c r="F100" t="inlineStr">
        <is>
          <t>JÖNKÖPINGS LÄN</t>
        </is>
      </c>
      <c r="G100" t="inlineStr">
        <is>
          <t>ANEBY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45398</v>
      </c>
      <c r="E101" s="1" t="n">
        <v>46265</v>
      </c>
      <c r="F101" t="inlineStr">
        <is>
          <t>JÖNKÖPINGS LÄN</t>
        </is>
      </c>
      <c r="G101" t="inlineStr">
        <is>
          <t>ANEBY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46265</v>
      </c>
      <c r="F102" t="inlineStr">
        <is>
          <t>JÖNKÖPINGS LÄN</t>
        </is>
      </c>
      <c r="G102" t="inlineStr">
        <is>
          <t>ANEBY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46265</v>
      </c>
      <c r="F103" t="inlineStr">
        <is>
          <t>JÖNKÖPINGS LÄN</t>
        </is>
      </c>
      <c r="G103" t="inlineStr">
        <is>
          <t>ANEBY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46265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46265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45356</v>
      </c>
      <c r="E106" s="1" t="n">
        <v>46265</v>
      </c>
      <c r="F106" t="inlineStr">
        <is>
          <t>JÖNKÖPINGS LÄN</t>
        </is>
      </c>
      <c r="G106" t="inlineStr">
        <is>
          <t>ANEBY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46265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46265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46265</v>
      </c>
      <c r="F109" t="inlineStr">
        <is>
          <t>JÖNKÖPINGS LÄN</t>
        </is>
      </c>
      <c r="G109" t="inlineStr">
        <is>
          <t>ANEBY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46265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46265</v>
      </c>
      <c r="F111" t="inlineStr">
        <is>
          <t>JÖNKÖPINGS LÄN</t>
        </is>
      </c>
      <c r="G111" t="inlineStr">
        <is>
          <t>ANEBY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46265</v>
      </c>
      <c r="F112" t="inlineStr">
        <is>
          <t>JÖNKÖPINGS LÄN</t>
        </is>
      </c>
      <c r="G112" t="inlineStr">
        <is>
          <t>ANEBY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43528-2025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45911</v>
      </c>
      <c r="E113" s="1" t="n">
        <v>46265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46265</v>
      </c>
      <c r="F114" t="inlineStr">
        <is>
          <t>JÖNKÖPINGS LÄN</t>
        </is>
      </c>
      <c r="G114" t="inlineStr">
        <is>
          <t>ANEBY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46265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46265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19.6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46265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46265</v>
      </c>
      <c r="F118" t="inlineStr">
        <is>
          <t>JÖNKÖPINGS LÄN</t>
        </is>
      </c>
      <c r="G118" t="inlineStr">
        <is>
          <t>ANEBY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HYPERLINK("https://klasma.github.io/Logging_0604/knärot/A 25963-2024 karta knärot.png", "A 25963-2024")</f>
        <v/>
      </c>
      <c r="AA118">
        <f>HYPERLINK("https://klasma.github.io/Logging_0604/klagomål/A 25963-2024 FSC-klagomål.docx", "A 25963-2024")</f>
        <v/>
      </c>
      <c r="AB118">
        <f>HYPERLINK("https://klasma.github.io/Logging_0604/klagomålsmail/A 25963-2024 FSC-klagomål mail.docx", "A 25963-2024")</f>
        <v/>
      </c>
      <c r="AC118">
        <f>HYPERLINK("https://klasma.github.io/Logging_0604/tillsyn/A 25963-2024 tillsynsbegäran.docx", "A 25963-2024")</f>
        <v/>
      </c>
      <c r="AD118">
        <f>HYPERLINK("https://klasma.github.io/Logging_0604/tillsynsmail/A 25963-2024 tillsynsbegäran mail.docx", "A 25963-2024")</f>
        <v/>
      </c>
    </row>
    <row r="119" ht="15" customHeight="1">
      <c r="A119" t="inlineStr">
        <is>
          <t>A 57501-2025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46265</v>
      </c>
      <c r="F119" t="inlineStr">
        <is>
          <t>JÖNKÖPINGS LÄN</t>
        </is>
      </c>
      <c r="G119" t="inlineStr">
        <is>
          <t>ANEBY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37343-2023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45156</v>
      </c>
      <c r="E120" s="1" t="n">
        <v>46265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46265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46265</v>
      </c>
      <c r="F122" t="inlineStr">
        <is>
          <t>JÖNKÖPINGS LÄN</t>
        </is>
      </c>
      <c r="G122" t="inlineStr">
        <is>
          <t>ANEBY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46265</v>
      </c>
      <c r="F123" t="inlineStr">
        <is>
          <t>JÖNKÖPINGS LÄN</t>
        </is>
      </c>
      <c r="G123" t="inlineStr">
        <is>
          <t>ANEBY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46265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45475</v>
      </c>
      <c r="E125" s="1" t="n">
        <v>46265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46265</v>
      </c>
      <c r="F126" t="inlineStr">
        <is>
          <t>JÖNKÖPINGS LÄN</t>
        </is>
      </c>
      <c r="G126" t="inlineStr">
        <is>
          <t>ANEBY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46265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46265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46265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44999</v>
      </c>
      <c r="E130" s="1" t="n">
        <v>46265</v>
      </c>
      <c r="F130" t="inlineStr">
        <is>
          <t>JÖNKÖPINGS LÄN</t>
        </is>
      </c>
      <c r="G130" t="inlineStr">
        <is>
          <t>ANEBY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46265</v>
      </c>
      <c r="F131" t="inlineStr">
        <is>
          <t>JÖNKÖPINGS LÄN</t>
        </is>
      </c>
      <c r="G131" t="inlineStr">
        <is>
          <t>ANEBY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46265</v>
      </c>
      <c r="F132" t="inlineStr">
        <is>
          <t>JÖNKÖPINGS LÄN</t>
        </is>
      </c>
      <c r="G132" t="inlineStr">
        <is>
          <t>ANEBY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46265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46265</v>
      </c>
      <c r="F134" t="inlineStr">
        <is>
          <t>JÖNKÖPINGS LÄN</t>
        </is>
      </c>
      <c r="G134" t="inlineStr">
        <is>
          <t>ANEBY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45819</v>
      </c>
      <c r="E135" s="1" t="n">
        <v>46265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46265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46265</v>
      </c>
      <c r="F137" t="inlineStr">
        <is>
          <t>JÖNKÖPINGS LÄN</t>
        </is>
      </c>
      <c r="G137" t="inlineStr">
        <is>
          <t>ANEBY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46265</v>
      </c>
      <c r="F138" t="inlineStr">
        <is>
          <t>JÖNKÖPINGS LÄN</t>
        </is>
      </c>
      <c r="G138" t="inlineStr">
        <is>
          <t>ANEBY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46265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16.8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46265</v>
      </c>
      <c r="F140" t="inlineStr">
        <is>
          <t>JÖNKÖPINGS LÄN</t>
        </is>
      </c>
      <c r="G140" t="inlineStr">
        <is>
          <t>ANEBY</t>
        </is>
      </c>
      <c r="H140" t="inlineStr">
        <is>
          <t>Sveaskog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46265</v>
      </c>
      <c r="F141" t="inlineStr">
        <is>
          <t>JÖNKÖPINGS LÄN</t>
        </is>
      </c>
      <c r="G141" t="inlineStr">
        <is>
          <t>ANEBY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46265</v>
      </c>
      <c r="F142" t="inlineStr">
        <is>
          <t>JÖNKÖPINGS LÄN</t>
        </is>
      </c>
      <c r="G142" t="inlineStr">
        <is>
          <t>ANEBY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46265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46265</v>
      </c>
      <c r="F144" t="inlineStr">
        <is>
          <t>JÖNKÖPINGS LÄN</t>
        </is>
      </c>
      <c r="G144" t="inlineStr">
        <is>
          <t>ANEBY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44888</v>
      </c>
      <c r="E145" s="1" t="n">
        <v>46265</v>
      </c>
      <c r="F145" t="inlineStr">
        <is>
          <t>JÖNKÖPINGS LÄN</t>
        </is>
      </c>
      <c r="G145" t="inlineStr">
        <is>
          <t>ANEBY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46265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46265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46265</v>
      </c>
      <c r="F148" t="inlineStr">
        <is>
          <t>JÖNKÖPINGS LÄN</t>
        </is>
      </c>
      <c r="G148" t="inlineStr">
        <is>
          <t>ANEBY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46265</v>
      </c>
      <c r="F149" t="inlineStr">
        <is>
          <t>JÖNKÖPINGS LÄN</t>
        </is>
      </c>
      <c r="G149" t="inlineStr">
        <is>
          <t>ANEBY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46265</v>
      </c>
      <c r="F150" t="inlineStr">
        <is>
          <t>JÖNKÖPINGS LÄN</t>
        </is>
      </c>
      <c r="G150" t="inlineStr">
        <is>
          <t>ANEBY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11565-2025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45727</v>
      </c>
      <c r="E151" s="1" t="n">
        <v>46265</v>
      </c>
      <c r="F151" t="inlineStr">
        <is>
          <t>JÖNKÖPINGS LÄN</t>
        </is>
      </c>
      <c r="G151" t="inlineStr">
        <is>
          <t>ANEBY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44966</v>
      </c>
      <c r="E152" s="1" t="n">
        <v>46265</v>
      </c>
      <c r="F152" t="inlineStr">
        <is>
          <t>JÖNKÖPINGS LÄN</t>
        </is>
      </c>
      <c r="G152" t="inlineStr">
        <is>
          <t>ANEBY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46265</v>
      </c>
      <c r="F153" t="inlineStr">
        <is>
          <t>JÖNKÖPINGS LÄN</t>
        </is>
      </c>
      <c r="G153" t="inlineStr">
        <is>
          <t>ANEBY</t>
        </is>
      </c>
      <c r="H153" t="inlineStr">
        <is>
          <t>Kyrkan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46265</v>
      </c>
      <c r="F154" t="inlineStr">
        <is>
          <t>JÖNKÖPINGS LÄN</t>
        </is>
      </c>
      <c r="G154" t="inlineStr">
        <is>
          <t>ANEBY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46265</v>
      </c>
      <c r="F155" t="inlineStr">
        <is>
          <t>JÖNKÖPINGS LÄN</t>
        </is>
      </c>
      <c r="G155" t="inlineStr">
        <is>
          <t>ANEBY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45020</v>
      </c>
      <c r="E156" s="1" t="n">
        <v>46265</v>
      </c>
      <c r="F156" t="inlineStr">
        <is>
          <t>JÖNKÖPINGS LÄN</t>
        </is>
      </c>
      <c r="G156" t="inlineStr">
        <is>
          <t>ANEBY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46265</v>
      </c>
      <c r="F157" t="inlineStr">
        <is>
          <t>JÖNKÖPINGS LÄN</t>
        </is>
      </c>
      <c r="G157" t="inlineStr">
        <is>
          <t>ANEBY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46265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46265</v>
      </c>
      <c r="F159" t="inlineStr">
        <is>
          <t>JÖNKÖPINGS LÄN</t>
        </is>
      </c>
      <c r="G159" t="inlineStr">
        <is>
          <t>ANEBY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46265</v>
      </c>
      <c r="F160" t="inlineStr">
        <is>
          <t>JÖNKÖPINGS LÄN</t>
        </is>
      </c>
      <c r="G160" t="inlineStr">
        <is>
          <t>ANEBY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46265</v>
      </c>
      <c r="F161" t="inlineStr">
        <is>
          <t>JÖNKÖPINGS LÄN</t>
        </is>
      </c>
      <c r="G161" t="inlineStr">
        <is>
          <t>ANEBY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46265</v>
      </c>
      <c r="F162" t="inlineStr">
        <is>
          <t>JÖNKÖPINGS LÄN</t>
        </is>
      </c>
      <c r="G162" t="inlineStr">
        <is>
          <t>ANEBY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46265</v>
      </c>
      <c r="F163" t="inlineStr">
        <is>
          <t>JÖNKÖPINGS LÄN</t>
        </is>
      </c>
      <c r="G163" t="inlineStr">
        <is>
          <t>ANEBY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46265</v>
      </c>
      <c r="F164" t="inlineStr">
        <is>
          <t>JÖNKÖPINGS LÄN</t>
        </is>
      </c>
      <c r="G164" t="inlineStr">
        <is>
          <t>ANEBY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46265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46265</v>
      </c>
      <c r="F166" t="inlineStr">
        <is>
          <t>JÖNKÖPINGS LÄN</t>
        </is>
      </c>
      <c r="G166" t="inlineStr">
        <is>
          <t>ANEBY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46265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45379</v>
      </c>
      <c r="E168" s="1" t="n">
        <v>46265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43613-2023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45184</v>
      </c>
      <c r="E169" s="1" t="n">
        <v>46265</v>
      </c>
      <c r="F169" t="inlineStr">
        <is>
          <t>JÖNKÖPINGS LÄN</t>
        </is>
      </c>
      <c r="G169" t="inlineStr">
        <is>
          <t>ANEBY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46265</v>
      </c>
      <c r="F170" t="inlineStr">
        <is>
          <t>JÖNKÖPINGS LÄN</t>
        </is>
      </c>
      <c r="G170" t="inlineStr">
        <is>
          <t>ANEBY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23349-2023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45076</v>
      </c>
      <c r="E171" s="1" t="n">
        <v>46265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46265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46265</v>
      </c>
      <c r="F173" t="inlineStr">
        <is>
          <t>JÖNKÖPINGS LÄN</t>
        </is>
      </c>
      <c r="G173" t="inlineStr">
        <is>
          <t>ANEBY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45653</v>
      </c>
      <c r="E174" s="1" t="n">
        <v>46265</v>
      </c>
      <c r="F174" t="inlineStr">
        <is>
          <t>JÖNKÖPINGS LÄN</t>
        </is>
      </c>
      <c r="G174" t="inlineStr">
        <is>
          <t>ANEBY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46265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46265</v>
      </c>
      <c r="F176" t="inlineStr">
        <is>
          <t>JÖNKÖPINGS LÄN</t>
        </is>
      </c>
      <c r="G176" t="inlineStr">
        <is>
          <t>ANEBY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46265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46265</v>
      </c>
      <c r="F178" t="inlineStr">
        <is>
          <t>JÖNKÖPINGS LÄN</t>
        </is>
      </c>
      <c r="G178" t="inlineStr">
        <is>
          <t>ANEBY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46265</v>
      </c>
      <c r="F179" t="inlineStr">
        <is>
          <t>JÖNKÖPINGS LÄN</t>
        </is>
      </c>
      <c r="G179" t="inlineStr">
        <is>
          <t>ANEBY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46021</v>
      </c>
      <c r="E180" s="1" t="n">
        <v>46265</v>
      </c>
      <c r="F180" t="inlineStr">
        <is>
          <t>JÖNKÖPINGS LÄN</t>
        </is>
      </c>
      <c r="G180" t="inlineStr">
        <is>
          <t>ANEBY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46265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45769</v>
      </c>
      <c r="E182" s="1" t="n">
        <v>46265</v>
      </c>
      <c r="F182" t="inlineStr">
        <is>
          <t>JÖNKÖPINGS LÄN</t>
        </is>
      </c>
      <c r="G182" t="inlineStr">
        <is>
          <t>ANEBY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46265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45016</v>
      </c>
      <c r="E184" s="1" t="n">
        <v>46265</v>
      </c>
      <c r="F184" t="inlineStr">
        <is>
          <t>JÖNKÖPINGS LÄN</t>
        </is>
      </c>
      <c r="G184" t="inlineStr">
        <is>
          <t>ANEBY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23354-2023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45076</v>
      </c>
      <c r="E185" s="1" t="n">
        <v>46265</v>
      </c>
      <c r="F185" t="inlineStr">
        <is>
          <t>JÖNKÖPINGS LÄN</t>
        </is>
      </c>
      <c r="G185" t="inlineStr">
        <is>
          <t>ANEBY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46265</v>
      </c>
      <c r="F186" t="inlineStr">
        <is>
          <t>JÖNKÖPINGS LÄN</t>
        </is>
      </c>
      <c r="G186" t="inlineStr">
        <is>
          <t>ANEBY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46265</v>
      </c>
      <c r="F187" t="inlineStr">
        <is>
          <t>JÖNKÖPINGS LÄN</t>
        </is>
      </c>
      <c r="G187" t="inlineStr">
        <is>
          <t>ANEBY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46265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46265</v>
      </c>
      <c r="F189" t="inlineStr">
        <is>
          <t>JÖNKÖPINGS LÄN</t>
        </is>
      </c>
      <c r="G189" t="inlineStr">
        <is>
          <t>ANEBY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46265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46265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51185-2021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46265</v>
      </c>
      <c r="F192" t="inlineStr">
        <is>
          <t>JÖNKÖPINGS LÄN</t>
        </is>
      </c>
      <c r="G192" t="inlineStr">
        <is>
          <t>ANEBY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46265</v>
      </c>
      <c r="F193" t="inlineStr">
        <is>
          <t>JÖNKÖPINGS LÄN</t>
        </is>
      </c>
      <c r="G193" t="inlineStr">
        <is>
          <t>ANEBY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21026-2024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45439</v>
      </c>
      <c r="E194" s="1" t="n">
        <v>46265</v>
      </c>
      <c r="F194" t="inlineStr">
        <is>
          <t>JÖNKÖPINGS LÄN</t>
        </is>
      </c>
      <c r="G194" t="inlineStr">
        <is>
          <t>ANEBY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46265</v>
      </c>
      <c r="F195" t="inlineStr">
        <is>
          <t>JÖNKÖPINGS LÄN</t>
        </is>
      </c>
      <c r="G195" t="inlineStr">
        <is>
          <t>ANEBY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45183</v>
      </c>
      <c r="E196" s="1" t="n">
        <v>46265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46056</v>
      </c>
      <c r="E197" s="1" t="n">
        <v>46265</v>
      </c>
      <c r="F197" t="inlineStr">
        <is>
          <t>JÖNKÖPINGS LÄN</t>
        </is>
      </c>
      <c r="G197" t="inlineStr">
        <is>
          <t>ANEBY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6827-2026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46057</v>
      </c>
      <c r="E198" s="1" t="n">
        <v>46265</v>
      </c>
      <c r="F198" t="inlineStr">
        <is>
          <t>JÖNKÖPINGS LÄN</t>
        </is>
      </c>
      <c r="G198" t="inlineStr">
        <is>
          <t>ANEBY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46265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7263-2026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46058</v>
      </c>
      <c r="E200" s="1" t="n">
        <v>46265</v>
      </c>
      <c r="F200" t="inlineStr">
        <is>
          <t>JÖNKÖPINGS LÄN</t>
        </is>
      </c>
      <c r="G200" t="inlineStr">
        <is>
          <t>ANEBY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46265</v>
      </c>
      <c r="F201" t="inlineStr">
        <is>
          <t>JÖNKÖPINGS LÄN</t>
        </is>
      </c>
      <c r="G201" t="inlineStr">
        <is>
          <t>ANEBY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46265</v>
      </c>
      <c r="F202" t="inlineStr">
        <is>
          <t>JÖNKÖPINGS LÄN</t>
        </is>
      </c>
      <c r="G202" t="inlineStr">
        <is>
          <t>ANEBY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46265</v>
      </c>
      <c r="F203" t="inlineStr">
        <is>
          <t>JÖNKÖPINGS LÄN</t>
        </is>
      </c>
      <c r="G203" t="inlineStr">
        <is>
          <t>ANEBY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46265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59507-2022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44900</v>
      </c>
      <c r="E205" s="1" t="n">
        <v>46265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46265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46265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56735-2021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44481</v>
      </c>
      <c r="E208" s="1" t="n">
        <v>46265</v>
      </c>
      <c r="F208" t="inlineStr">
        <is>
          <t>JÖNKÖPINGS LÄN</t>
        </is>
      </c>
      <c r="G208" t="inlineStr">
        <is>
          <t>ANEBY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46265</v>
      </c>
      <c r="F209" t="inlineStr">
        <is>
          <t>JÖNKÖPINGS LÄN</t>
        </is>
      </c>
      <c r="G209" t="inlineStr">
        <is>
          <t>ANEBY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44959</v>
      </c>
      <c r="E210" s="1" t="n">
        <v>46265</v>
      </c>
      <c r="F210" t="inlineStr">
        <is>
          <t>JÖNKÖPINGS LÄN</t>
        </is>
      </c>
      <c r="G210" t="inlineStr">
        <is>
          <t>ANEBY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46265</v>
      </c>
      <c r="F211" t="inlineStr">
        <is>
          <t>JÖNKÖPINGS LÄN</t>
        </is>
      </c>
      <c r="G211" t="inlineStr">
        <is>
          <t>ANEBY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46265</v>
      </c>
      <c r="F212" t="inlineStr">
        <is>
          <t>JÖNKÖPINGS LÄN</t>
        </is>
      </c>
      <c r="G212" t="inlineStr">
        <is>
          <t>ANEBY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45122</v>
      </c>
      <c r="E213" s="1" t="n">
        <v>46265</v>
      </c>
      <c r="F213" t="inlineStr">
        <is>
          <t>JÖNKÖPINGS LÄN</t>
        </is>
      </c>
      <c r="G213" t="inlineStr">
        <is>
          <t>ANEBY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46265</v>
      </c>
      <c r="F214" t="inlineStr">
        <is>
          <t>JÖNKÖPINGS LÄN</t>
        </is>
      </c>
      <c r="G214" t="inlineStr">
        <is>
          <t>ANEBY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46265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46265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46265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45304</v>
      </c>
      <c r="E218" s="1" t="n">
        <v>46265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46265</v>
      </c>
      <c r="F219" t="inlineStr">
        <is>
          <t>JÖNKÖPINGS LÄN</t>
        </is>
      </c>
      <c r="G219" t="inlineStr">
        <is>
          <t>ANEBY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38794-2023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45161</v>
      </c>
      <c r="E220" s="1" t="n">
        <v>46265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46265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46265</v>
      </c>
      <c r="F222" t="inlineStr">
        <is>
          <t>JÖNKÖPINGS LÄN</t>
        </is>
      </c>
      <c r="G222" t="inlineStr">
        <is>
          <t>ANEBY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46265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46265</v>
      </c>
      <c r="F224" t="inlineStr">
        <is>
          <t>JÖNKÖPINGS LÄN</t>
        </is>
      </c>
      <c r="G224" t="inlineStr">
        <is>
          <t>ANEBY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46265</v>
      </c>
      <c r="F225" t="inlineStr">
        <is>
          <t>JÖNKÖPINGS LÄN</t>
        </is>
      </c>
      <c r="G225" t="inlineStr">
        <is>
          <t>ANEBY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46265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51160-2021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44461</v>
      </c>
      <c r="E227" s="1" t="n">
        <v>46265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45126</v>
      </c>
      <c r="E228" s="1" t="n">
        <v>46265</v>
      </c>
      <c r="F228" t="inlineStr">
        <is>
          <t>JÖNKÖPINGS LÄN</t>
        </is>
      </c>
      <c r="G228" t="inlineStr">
        <is>
          <t>ANEBY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50069-2024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45600</v>
      </c>
      <c r="E229" s="1" t="n">
        <v>46265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45616</v>
      </c>
      <c r="E230" s="1" t="n">
        <v>46265</v>
      </c>
      <c r="F230" t="inlineStr">
        <is>
          <t>JÖNKÖPINGS LÄN</t>
        </is>
      </c>
      <c r="G230" t="inlineStr">
        <is>
          <t>ANEBY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46265</v>
      </c>
      <c r="F231" t="inlineStr">
        <is>
          <t>JÖNKÖPINGS LÄN</t>
        </is>
      </c>
      <c r="G231" t="inlineStr">
        <is>
          <t>ANEBY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46265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46265</v>
      </c>
      <c r="F233" t="inlineStr">
        <is>
          <t>JÖNKÖPINGS LÄN</t>
        </is>
      </c>
      <c r="G233" t="inlineStr">
        <is>
          <t>ANEBY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46265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46265</v>
      </c>
      <c r="F235" t="inlineStr">
        <is>
          <t>JÖNKÖPINGS LÄN</t>
        </is>
      </c>
      <c r="G235" t="inlineStr">
        <is>
          <t>ANEBY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45124</v>
      </c>
      <c r="E236" s="1" t="n">
        <v>46265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45126</v>
      </c>
      <c r="E237" s="1" t="n">
        <v>46265</v>
      </c>
      <c r="F237" t="inlineStr">
        <is>
          <t>JÖNKÖPINGS LÄN</t>
        </is>
      </c>
      <c r="G237" t="inlineStr">
        <is>
          <t>ANEBY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46265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46265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46265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46265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46265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45084</v>
      </c>
      <c r="E243" s="1" t="n">
        <v>46265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46265</v>
      </c>
      <c r="F244" t="inlineStr">
        <is>
          <t>JÖNKÖPINGS LÄN</t>
        </is>
      </c>
      <c r="G244" t="inlineStr">
        <is>
          <t>ANEBY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45316</v>
      </c>
      <c r="E245" s="1" t="n">
        <v>46265</v>
      </c>
      <c r="F245" t="inlineStr">
        <is>
          <t>JÖNKÖPINGS LÄN</t>
        </is>
      </c>
      <c r="G245" t="inlineStr">
        <is>
          <t>ANEBY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46265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20.7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46265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46265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10155-2024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45364</v>
      </c>
      <c r="E249" s="1" t="n">
        <v>46265</v>
      </c>
      <c r="F249" t="inlineStr">
        <is>
          <t>JÖNKÖPINGS LÄN</t>
        </is>
      </c>
      <c r="G249" t="inlineStr">
        <is>
          <t>ANEBY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46265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46265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46265</v>
      </c>
      <c r="F252" t="inlineStr">
        <is>
          <t>JÖNKÖPINGS LÄN</t>
        </is>
      </c>
      <c r="G252" t="inlineStr">
        <is>
          <t>ANEBY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46265</v>
      </c>
      <c r="F253" t="inlineStr">
        <is>
          <t>JÖNKÖPINGS LÄN</t>
        </is>
      </c>
      <c r="G253" t="inlineStr">
        <is>
          <t>ANEBY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46265</v>
      </c>
      <c r="F254" t="inlineStr">
        <is>
          <t>JÖNKÖPINGS LÄN</t>
        </is>
      </c>
      <c r="G254" t="inlineStr">
        <is>
          <t>ANEBY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46265</v>
      </c>
      <c r="F255" t="inlineStr">
        <is>
          <t>JÖNKÖPINGS LÄN</t>
        </is>
      </c>
      <c r="G255" t="inlineStr">
        <is>
          <t>ANEBY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46265</v>
      </c>
      <c r="F256" t="inlineStr">
        <is>
          <t>JÖNKÖPINGS LÄN</t>
        </is>
      </c>
      <c r="G256" t="inlineStr">
        <is>
          <t>ANEBY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45665</v>
      </c>
      <c r="E257" s="1" t="n">
        <v>46265</v>
      </c>
      <c r="F257" t="inlineStr">
        <is>
          <t>JÖNKÖPINGS LÄN</t>
        </is>
      </c>
      <c r="G257" t="inlineStr">
        <is>
          <t>ANEBY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46265</v>
      </c>
      <c r="F258" t="inlineStr">
        <is>
          <t>JÖNKÖPINGS LÄN</t>
        </is>
      </c>
      <c r="G258" t="inlineStr">
        <is>
          <t>ANEBY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46125</v>
      </c>
      <c r="E259" s="1" t="n">
        <v>46265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46265</v>
      </c>
      <c r="F260" t="inlineStr">
        <is>
          <t>JÖNKÖPINGS LÄN</t>
        </is>
      </c>
      <c r="G260" t="inlineStr">
        <is>
          <t>ANEBY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45146</v>
      </c>
      <c r="E261" s="1" t="n">
        <v>46265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46265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46265</v>
      </c>
      <c r="F263" t="inlineStr">
        <is>
          <t>JÖNKÖPINGS LÄN</t>
        </is>
      </c>
      <c r="G263" t="inlineStr">
        <is>
          <t>ANEBY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46265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46265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44700</v>
      </c>
      <c r="E266" s="1" t="n">
        <v>46265</v>
      </c>
      <c r="F266" t="inlineStr">
        <is>
          <t>JÖNKÖPINGS LÄN</t>
        </is>
      </c>
      <c r="G266" t="inlineStr">
        <is>
          <t>ANEBY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46265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46265</v>
      </c>
      <c r="F268" t="inlineStr">
        <is>
          <t>JÖNKÖPINGS LÄN</t>
        </is>
      </c>
      <c r="G268" t="inlineStr">
        <is>
          <t>ANEBY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44721</v>
      </c>
      <c r="E269" s="1" t="n">
        <v>46265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46265</v>
      </c>
      <c r="F270" t="inlineStr">
        <is>
          <t>JÖNKÖPINGS LÄN</t>
        </is>
      </c>
      <c r="G270" t="inlineStr">
        <is>
          <t>ANEBY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46265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46265</v>
      </c>
      <c r="F272" t="inlineStr">
        <is>
          <t>JÖNKÖPINGS LÄN</t>
        </is>
      </c>
      <c r="G272" t="inlineStr">
        <is>
          <t>ANEBY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46265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46265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45300</v>
      </c>
      <c r="E275" s="1" t="n">
        <v>46265</v>
      </c>
      <c r="F275" t="inlineStr">
        <is>
          <t>JÖNKÖPINGS LÄN</t>
        </is>
      </c>
      <c r="G275" t="inlineStr">
        <is>
          <t>ANEBY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19362-2025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45769</v>
      </c>
      <c r="E276" s="1" t="n">
        <v>46265</v>
      </c>
      <c r="F276" t="inlineStr">
        <is>
          <t>JÖNKÖPINGS LÄN</t>
        </is>
      </c>
      <c r="G276" t="inlineStr">
        <is>
          <t>ANEBY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46265</v>
      </c>
      <c r="F277" t="inlineStr">
        <is>
          <t>JÖNKÖPINGS LÄN</t>
        </is>
      </c>
      <c r="G277" t="inlineStr">
        <is>
          <t>ANEBY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46265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46265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46265</v>
      </c>
      <c r="F280" t="inlineStr">
        <is>
          <t>JÖNKÖPINGS LÄN</t>
        </is>
      </c>
      <c r="G280" t="inlineStr">
        <is>
          <t>ANEBY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57170-2021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44482</v>
      </c>
      <c r="E281" s="1" t="n">
        <v>46265</v>
      </c>
      <c r="F281" t="inlineStr">
        <is>
          <t>JÖNKÖPINGS LÄN</t>
        </is>
      </c>
      <c r="G281" t="inlineStr">
        <is>
          <t>ANEBY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46265</v>
      </c>
      <c r="F282" t="inlineStr">
        <is>
          <t>JÖNKÖPINGS LÄN</t>
        </is>
      </c>
      <c r="G282" t="inlineStr">
        <is>
          <t>ANEBY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46265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46265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46265</v>
      </c>
      <c r="F285" t="inlineStr">
        <is>
          <t>JÖNKÖPINGS LÄN</t>
        </is>
      </c>
      <c r="G285" t="inlineStr">
        <is>
          <t>ANEBY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67414-2021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46265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44565</v>
      </c>
      <c r="E287" s="1" t="n">
        <v>46265</v>
      </c>
      <c r="F287" t="inlineStr">
        <is>
          <t>JÖNKÖPINGS LÄN</t>
        </is>
      </c>
      <c r="G287" t="inlineStr">
        <is>
          <t>ANEBY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44985</v>
      </c>
      <c r="E288" s="1" t="n">
        <v>46265</v>
      </c>
      <c r="F288" t="inlineStr">
        <is>
          <t>JÖNKÖPINGS LÄN</t>
        </is>
      </c>
      <c r="G288" t="inlineStr">
        <is>
          <t>ANEBY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44952</v>
      </c>
      <c r="E289" s="1" t="n">
        <v>46265</v>
      </c>
      <c r="F289" t="inlineStr">
        <is>
          <t>JÖNKÖPINGS LÄN</t>
        </is>
      </c>
      <c r="G289" t="inlineStr">
        <is>
          <t>ANEBY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44957</v>
      </c>
      <c r="E290" s="1" t="n">
        <v>46265</v>
      </c>
      <c r="F290" t="inlineStr">
        <is>
          <t>JÖNKÖPINGS LÄN</t>
        </is>
      </c>
      <c r="G290" t="inlineStr">
        <is>
          <t>ANEBY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35773-2023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45148</v>
      </c>
      <c r="E291" s="1" t="n">
        <v>46265</v>
      </c>
      <c r="F291" t="inlineStr">
        <is>
          <t>JÖNKÖPINGS LÄN</t>
        </is>
      </c>
      <c r="G291" t="inlineStr">
        <is>
          <t>ANEBY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44888</v>
      </c>
      <c r="E292" s="1" t="n">
        <v>46265</v>
      </c>
      <c r="F292" t="inlineStr">
        <is>
          <t>JÖNKÖPINGS LÄN</t>
        </is>
      </c>
      <c r="G292" t="inlineStr">
        <is>
          <t>ANEBY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46265</v>
      </c>
      <c r="F293" t="inlineStr">
        <is>
          <t>JÖNKÖPINGS LÄN</t>
        </is>
      </c>
      <c r="G293" t="inlineStr">
        <is>
          <t>ANEBY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46265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46265</v>
      </c>
      <c r="F295" t="inlineStr">
        <is>
          <t>JÖNKÖPINGS LÄN</t>
        </is>
      </c>
      <c r="G295" t="inlineStr">
        <is>
          <t>ANEBY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46265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46265</v>
      </c>
      <c r="F297" t="inlineStr">
        <is>
          <t>JÖNKÖPINGS LÄN</t>
        </is>
      </c>
      <c r="G297" t="inlineStr">
        <is>
          <t>ANEBY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46265</v>
      </c>
      <c r="F298" t="inlineStr">
        <is>
          <t>JÖNKÖPINGS LÄN</t>
        </is>
      </c>
      <c r="G298" t="inlineStr">
        <is>
          <t>ANEBY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44620</v>
      </c>
      <c r="E299" s="1" t="n">
        <v>46265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44985</v>
      </c>
      <c r="E300" s="1" t="n">
        <v>46265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10456-2023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44981</v>
      </c>
      <c r="E301" s="1" t="n">
        <v>46265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46265</v>
      </c>
      <c r="F302" t="inlineStr">
        <is>
          <t>JÖNKÖPINGS LÄN</t>
        </is>
      </c>
      <c r="G302" t="inlineStr">
        <is>
          <t>ANEBY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46265</v>
      </c>
      <c r="F303" t="inlineStr">
        <is>
          <t>JÖNKÖPINGS LÄN</t>
        </is>
      </c>
      <c r="G303" t="inlineStr">
        <is>
          <t>ANEBY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35417-2023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46265</v>
      </c>
      <c r="F304" t="inlineStr">
        <is>
          <t>JÖNKÖPINGS LÄN</t>
        </is>
      </c>
      <c r="G304" t="inlineStr">
        <is>
          <t>ANEBY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45363</v>
      </c>
      <c r="E305" s="1" t="n">
        <v>46265</v>
      </c>
      <c r="F305" t="inlineStr">
        <is>
          <t>JÖNKÖPINGS LÄN</t>
        </is>
      </c>
      <c r="G305" t="inlineStr">
        <is>
          <t>ANEBY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46265</v>
      </c>
      <c r="F306" t="inlineStr">
        <is>
          <t>JÖNKÖPINGS LÄN</t>
        </is>
      </c>
      <c r="G306" t="inlineStr">
        <is>
          <t>ANEBY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46265</v>
      </c>
      <c r="F307" t="inlineStr">
        <is>
          <t>JÖNKÖPINGS LÄN</t>
        </is>
      </c>
      <c r="G307" t="inlineStr">
        <is>
          <t>ANEBY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44978</v>
      </c>
      <c r="E308" s="1" t="n">
        <v>46265</v>
      </c>
      <c r="F308" t="inlineStr">
        <is>
          <t>JÖNKÖPINGS LÄN</t>
        </is>
      </c>
      <c r="G308" t="inlineStr">
        <is>
          <t>ANEBY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46147</v>
      </c>
      <c r="E309" s="1" t="n">
        <v>46265</v>
      </c>
      <c r="F309" t="inlineStr">
        <is>
          <t>JÖNKÖPINGS LÄN</t>
        </is>
      </c>
      <c r="G309" t="inlineStr">
        <is>
          <t>ANEBY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45412</v>
      </c>
      <c r="E310" s="1" t="n">
        <v>46265</v>
      </c>
      <c r="F310" t="inlineStr">
        <is>
          <t>JÖNKÖPINGS LÄN</t>
        </is>
      </c>
      <c r="G310" t="inlineStr">
        <is>
          <t>ANEBY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46265</v>
      </c>
      <c r="F311" t="inlineStr">
        <is>
          <t>JÖNKÖPINGS LÄN</t>
        </is>
      </c>
      <c r="G311" t="inlineStr">
        <is>
          <t>ANEBY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46265</v>
      </c>
      <c r="F312" t="inlineStr">
        <is>
          <t>JÖNKÖPINGS LÄN</t>
        </is>
      </c>
      <c r="G312" t="inlineStr">
        <is>
          <t>ANEBY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45408</v>
      </c>
      <c r="E313" s="1" t="n">
        <v>46265</v>
      </c>
      <c r="F313" t="inlineStr">
        <is>
          <t>JÖNKÖPINGS LÄN</t>
        </is>
      </c>
      <c r="G313" t="inlineStr">
        <is>
          <t>ANEBY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45077</v>
      </c>
      <c r="E314" s="1" t="n">
        <v>46265</v>
      </c>
      <c r="F314" t="inlineStr">
        <is>
          <t>JÖNKÖPINGS LÄN</t>
        </is>
      </c>
      <c r="G314" t="inlineStr">
        <is>
          <t>ANEBY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46265</v>
      </c>
      <c r="F315" t="inlineStr">
        <is>
          <t>JÖNKÖPINGS LÄN</t>
        </is>
      </c>
      <c r="G315" t="inlineStr">
        <is>
          <t>ANEBY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45357</v>
      </c>
      <c r="E316" s="1" t="n">
        <v>46265</v>
      </c>
      <c r="F316" t="inlineStr">
        <is>
          <t>JÖNKÖPINGS LÄN</t>
        </is>
      </c>
      <c r="G316" t="inlineStr">
        <is>
          <t>ANEBY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46265</v>
      </c>
      <c r="F317" t="inlineStr">
        <is>
          <t>JÖNKÖPINGS LÄN</t>
        </is>
      </c>
      <c r="G317" t="inlineStr">
        <is>
          <t>ANEBY</t>
        </is>
      </c>
      <c r="H317" t="inlineStr">
        <is>
          <t>Kyrkan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46265</v>
      </c>
      <c r="F318" t="inlineStr">
        <is>
          <t>JÖNKÖPINGS LÄN</t>
        </is>
      </c>
      <c r="G318" t="inlineStr">
        <is>
          <t>ANEBY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46265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46265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46265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46265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46265</v>
      </c>
      <c r="F323" t="inlineStr">
        <is>
          <t>JÖNKÖPINGS LÄN</t>
        </is>
      </c>
      <c r="G323" t="inlineStr">
        <is>
          <t>ANEBY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46176</v>
      </c>
      <c r="E324" s="1" t="n">
        <v>46265</v>
      </c>
      <c r="F324" t="inlineStr">
        <is>
          <t>JÖNKÖPINGS LÄN</t>
        </is>
      </c>
      <c r="G324" t="inlineStr">
        <is>
          <t>ANEBY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46224</v>
      </c>
      <c r="E325" s="1" t="n">
        <v>46265</v>
      </c>
      <c r="F325" t="inlineStr">
        <is>
          <t>JÖNKÖPINGS LÄN</t>
        </is>
      </c>
      <c r="G325" t="inlineStr">
        <is>
          <t>ANEBY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46184</v>
      </c>
      <c r="E326" s="1" t="n">
        <v>46265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46265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46265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46265</v>
      </c>
      <c r="F329" t="inlineStr">
        <is>
          <t>JÖNKÖPINGS LÄN</t>
        </is>
      </c>
      <c r="G329" t="inlineStr">
        <is>
          <t>ANEBY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46265</v>
      </c>
      <c r="F330" t="inlineStr">
        <is>
          <t>JÖNKÖPINGS LÄN</t>
        </is>
      </c>
      <c r="G330" t="inlineStr">
        <is>
          <t>ANEBY</t>
        </is>
      </c>
      <c r="H330" t="inlineStr">
        <is>
          <t>Övriga Aktiebolag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46265</v>
      </c>
      <c r="F331" t="inlineStr">
        <is>
          <t>JÖNKÖPINGS LÄN</t>
        </is>
      </c>
      <c r="G331" t="inlineStr">
        <is>
          <t>ANEBY</t>
        </is>
      </c>
      <c r="I331" t="n">
        <v>17.9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46265</v>
      </c>
      <c r="F332" t="inlineStr">
        <is>
          <t>JÖNKÖPINGS LÄN</t>
        </is>
      </c>
      <c r="G332" t="inlineStr">
        <is>
          <t>ANEBY</t>
        </is>
      </c>
      <c r="H332" t="inlineStr">
        <is>
          <t>Kyrkan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46265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46265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46265</v>
      </c>
      <c r="F335" t="inlineStr">
        <is>
          <t>JÖNKÖPINGS LÄN</t>
        </is>
      </c>
      <c r="G335" t="inlineStr">
        <is>
          <t>ANEBY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46265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46265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46265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46265</v>
      </c>
      <c r="F339" t="inlineStr">
        <is>
          <t>JÖNKÖPINGS LÄN</t>
        </is>
      </c>
      <c r="G339" t="inlineStr">
        <is>
          <t>ANEBY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46214</v>
      </c>
      <c r="E340" s="1" t="n">
        <v>46265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46214</v>
      </c>
      <c r="E341" s="1" t="n">
        <v>46265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46265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805-2022</t>
        </is>
      </c>
      <c r="B343" t="inlineStr">
        <is>
          <t>samrådsanmälan</t>
        </is>
      </c>
      <c r="C343" t="inlineStr">
        <is>
          <t>Skogsbilväg</t>
        </is>
      </c>
      <c r="D343" s="1" t="n">
        <v>44603</v>
      </c>
      <c r="E343" s="1" t="n">
        <v>46265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5767-2022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44848</v>
      </c>
      <c r="E344" s="1" t="n">
        <v>46265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6633-2022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44886</v>
      </c>
      <c r="E345" s="1" t="n">
        <v>46265</v>
      </c>
      <c r="F345" t="inlineStr">
        <is>
          <t>JÖNKÖPINGS LÄN</t>
        </is>
      </c>
      <c r="G345" t="inlineStr">
        <is>
          <t>ANEBY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1677-2023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45063</v>
      </c>
      <c r="E346" s="1" t="n">
        <v>46265</v>
      </c>
      <c r="F346" t="inlineStr">
        <is>
          <t>JÖNKÖPINGS LÄN</t>
        </is>
      </c>
      <c r="G346" t="inlineStr">
        <is>
          <t>ANEBY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7492-2021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44475</v>
      </c>
      <c r="E347" s="1" t="n">
        <v>46265</v>
      </c>
      <c r="F347" t="inlineStr">
        <is>
          <t>JÖNKÖPINGS LÄN</t>
        </is>
      </c>
      <c r="G347" t="inlineStr">
        <is>
          <t>ANEBY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3586-2024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45546</v>
      </c>
      <c r="E348" s="1" t="n">
        <v>46265</v>
      </c>
      <c r="F348" t="inlineStr">
        <is>
          <t>JÖNKÖPINGS LÄN</t>
        </is>
      </c>
      <c r="G348" t="inlineStr">
        <is>
          <t>ANEBY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6631-2022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46265</v>
      </c>
      <c r="F349" t="inlineStr">
        <is>
          <t>JÖNKÖPINGS LÄN</t>
        </is>
      </c>
      <c r="G349" t="inlineStr">
        <is>
          <t>ANEBY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1729-2023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45069</v>
      </c>
      <c r="E350" s="1" t="n">
        <v>46265</v>
      </c>
      <c r="F350" t="inlineStr">
        <is>
          <t>JÖNKÖPINGS LÄN</t>
        </is>
      </c>
      <c r="G350" t="inlineStr">
        <is>
          <t>ANEBY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2550-2023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45135</v>
      </c>
      <c r="E351" s="1" t="n">
        <v>46265</v>
      </c>
      <c r="F351" t="inlineStr">
        <is>
          <t>JÖNKÖPINGS LÄN</t>
        </is>
      </c>
      <c r="G351" t="inlineStr">
        <is>
          <t>ANEBY</t>
        </is>
      </c>
      <c r="I351" t="n">
        <v>58.3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46265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46265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46265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46265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46265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2026-08-31T09:57:50Z</dcterms:created>
  <dcterms:modified xmlns:dcterms="http://purl.org/dc/terms/" xmlns:xsi="http://www.w3.org/2001/XMLSchema-instance" xsi:type="dcterms:W3CDTF">2026-08-31T09:57:51Z</dcterms:modified>
</cp:coreProperties>
</file>