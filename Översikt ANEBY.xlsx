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45851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45851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45851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45851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45851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45851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45851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45851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45851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16944-2023</t>
        </is>
      </c>
      <c r="B11" s="1" t="n">
        <v>45033</v>
      </c>
      <c r="C11" s="1" t="n">
        <v>45851</v>
      </c>
      <c r="D11" t="inlineStr">
        <is>
          <t>JÖNKÖPINGS LÄN</t>
        </is>
      </c>
      <c r="E11" t="inlineStr">
        <is>
          <t>ANEBY</t>
        </is>
      </c>
      <c r="G11" t="n">
        <v>9.1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Sotriska</t>
        </is>
      </c>
      <c r="S11">
        <f>HYPERLINK("https://klasma.github.io/Logging_0604/artfynd/A 16944-2023 artfynd.xlsx", "A 16944-2023")</f>
        <v/>
      </c>
      <c r="T11">
        <f>HYPERLINK("https://klasma.github.io/Logging_0604/kartor/A 16944-2023 karta.png", "A 16944-2023")</f>
        <v/>
      </c>
      <c r="V11">
        <f>HYPERLINK("https://klasma.github.io/Logging_0604/klagomål/A 16944-2023 FSC-klagomål.docx", "A 16944-2023")</f>
        <v/>
      </c>
      <c r="W11">
        <f>HYPERLINK("https://klasma.github.io/Logging_0604/klagomålsmail/A 16944-2023 FSC-klagomål mail.docx", "A 16944-2023")</f>
        <v/>
      </c>
      <c r="X11">
        <f>HYPERLINK("https://klasma.github.io/Logging_0604/tillsyn/A 16944-2023 tillsynsbegäran.docx", "A 16944-2023")</f>
        <v/>
      </c>
      <c r="Y11">
        <f>HYPERLINK("https://klasma.github.io/Logging_0604/tillsynsmail/A 16944-2023 tillsynsbegäran mail.docx", "A 16944-2023")</f>
        <v/>
      </c>
    </row>
    <row r="12" ht="15" customHeight="1">
      <c r="A12" t="inlineStr">
        <is>
          <t>A 26583-2019</t>
        </is>
      </c>
      <c r="B12" s="1" t="n">
        <v>43612</v>
      </c>
      <c r="C12" s="1" t="n">
        <v>45851</v>
      </c>
      <c r="D12" t="inlineStr">
        <is>
          <t>JÖNKÖPINGS LÄN</t>
        </is>
      </c>
      <c r="E12" t="inlineStr">
        <is>
          <t>ANEBY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HYPERLINK("https://klasma.github.io/Logging_0604/artfynd/A 26583-2019 artfynd.xlsx", "A 26583-2019")</f>
        <v/>
      </c>
      <c r="T12">
        <f>HYPERLINK("https://klasma.github.io/Logging_0604/kartor/A 26583-2019 karta.png", "A 26583-2019")</f>
        <v/>
      </c>
      <c r="V12">
        <f>HYPERLINK("https://klasma.github.io/Logging_0604/klagomål/A 26583-2019 FSC-klagomål.docx", "A 26583-2019")</f>
        <v/>
      </c>
      <c r="W12">
        <f>HYPERLINK("https://klasma.github.io/Logging_0604/klagomålsmail/A 26583-2019 FSC-klagomål mail.docx", "A 26583-2019")</f>
        <v/>
      </c>
      <c r="X12">
        <f>HYPERLINK("https://klasma.github.io/Logging_0604/tillsyn/A 26583-2019 tillsynsbegäran.docx", "A 26583-2019")</f>
        <v/>
      </c>
      <c r="Y12">
        <f>HYPERLINK("https://klasma.github.io/Logging_0604/tillsynsmail/A 26583-2019 tillsynsbegäran mail.docx", "A 26583-2019")</f>
        <v/>
      </c>
    </row>
    <row r="13" ht="15" customHeight="1">
      <c r="A13" t="inlineStr">
        <is>
          <t>A 51106-2020</t>
        </is>
      </c>
      <c r="B13" s="1" t="n">
        <v>44112</v>
      </c>
      <c r="C13" s="1" t="n">
        <v>45851</v>
      </c>
      <c r="D13" t="inlineStr">
        <is>
          <t>JÖNKÖPINGS LÄN</t>
        </is>
      </c>
      <c r="E13" t="inlineStr">
        <is>
          <t>ANEBY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Ögonpyrola</t>
        </is>
      </c>
      <c r="S13">
        <f>HYPERLINK("https://klasma.github.io/Logging_0604/artfynd/A 51106-2020 artfynd.xlsx", "A 51106-2020")</f>
        <v/>
      </c>
      <c r="T13">
        <f>HYPERLINK("https://klasma.github.io/Logging_0604/kartor/A 51106-2020 karta.png", "A 51106-2020")</f>
        <v/>
      </c>
      <c r="V13">
        <f>HYPERLINK("https://klasma.github.io/Logging_0604/klagomål/A 51106-2020 FSC-klagomål.docx", "A 51106-2020")</f>
        <v/>
      </c>
      <c r="W13">
        <f>HYPERLINK("https://klasma.github.io/Logging_0604/klagomålsmail/A 51106-2020 FSC-klagomål mail.docx", "A 51106-2020")</f>
        <v/>
      </c>
      <c r="X13">
        <f>HYPERLINK("https://klasma.github.io/Logging_0604/tillsyn/A 51106-2020 tillsynsbegäran.docx", "A 51106-2020")</f>
        <v/>
      </c>
      <c r="Y13">
        <f>HYPERLINK("https://klasma.github.io/Logging_0604/tillsynsmail/A 51106-2020 tillsynsbegäran mail.docx", "A 51106-2020")</f>
        <v/>
      </c>
    </row>
    <row r="14" ht="15" customHeight="1">
      <c r="A14" t="inlineStr">
        <is>
          <t>A 51453-2021</t>
        </is>
      </c>
      <c r="B14" s="1" t="n">
        <v>44460</v>
      </c>
      <c r="C14" s="1" t="n">
        <v>45851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HYPERLINK("https://klasma.github.io/Logging_0604/artfynd/A 51453-2021 artfynd.xlsx", "A 51453-2021")</f>
        <v/>
      </c>
      <c r="T14">
        <f>HYPERLINK("https://klasma.github.io/Logging_0604/kartor/A 51453-2021 karta.png", "A 51453-2021")</f>
        <v/>
      </c>
      <c r="V14">
        <f>HYPERLINK("https://klasma.github.io/Logging_0604/klagomål/A 51453-2021 FSC-klagomål.docx", "A 51453-2021")</f>
        <v/>
      </c>
      <c r="W14">
        <f>HYPERLINK("https://klasma.github.io/Logging_0604/klagomålsmail/A 51453-2021 FSC-klagomål mail.docx", "A 51453-2021")</f>
        <v/>
      </c>
      <c r="X14">
        <f>HYPERLINK("https://klasma.github.io/Logging_0604/tillsyn/A 51453-2021 tillsynsbegäran.docx", "A 51453-2021")</f>
        <v/>
      </c>
      <c r="Y14">
        <f>HYPERLINK("https://klasma.github.io/Logging_0604/tillsynsmail/A 51453-2021 tillsynsbegäran mail.docx", "A 51453-2021")</f>
        <v/>
      </c>
    </row>
    <row r="15" ht="15" customHeight="1">
      <c r="A15" t="inlineStr">
        <is>
          <t>A 63467-2021</t>
        </is>
      </c>
      <c r="B15" s="1" t="n">
        <v>44508</v>
      </c>
      <c r="C15" s="1" t="n">
        <v>45851</v>
      </c>
      <c r="D15" t="inlineStr">
        <is>
          <t>JÖNKÖPINGS LÄN</t>
        </is>
      </c>
      <c r="E15" t="inlineStr">
        <is>
          <t>ANEBY</t>
        </is>
      </c>
      <c r="G15" t="n">
        <v>0.5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Åkerrättika</t>
        </is>
      </c>
      <c r="S15">
        <f>HYPERLINK("https://klasma.github.io/Logging_0604/artfynd/A 63467-2021 artfynd.xlsx", "A 63467-2021")</f>
        <v/>
      </c>
      <c r="T15">
        <f>HYPERLINK("https://klasma.github.io/Logging_0604/kartor/A 63467-2021 karta.png", "A 63467-2021")</f>
        <v/>
      </c>
      <c r="V15">
        <f>HYPERLINK("https://klasma.github.io/Logging_0604/klagomål/A 63467-2021 FSC-klagomål.docx", "A 63467-2021")</f>
        <v/>
      </c>
      <c r="W15">
        <f>HYPERLINK("https://klasma.github.io/Logging_0604/klagomålsmail/A 63467-2021 FSC-klagomål mail.docx", "A 63467-2021")</f>
        <v/>
      </c>
      <c r="X15">
        <f>HYPERLINK("https://klasma.github.io/Logging_0604/tillsyn/A 63467-2021 tillsynsbegäran.docx", "A 63467-2021")</f>
        <v/>
      </c>
      <c r="Y15">
        <f>HYPERLINK("https://klasma.github.io/Logging_0604/tillsynsmail/A 63467-2021 tillsynsbegäran mail.docx", "A 63467-2021")</f>
        <v/>
      </c>
    </row>
    <row r="16" ht="15" customHeight="1">
      <c r="A16" t="inlineStr">
        <is>
          <t>A 412-2022</t>
        </is>
      </c>
      <c r="B16" s="1" t="n">
        <v>44565</v>
      </c>
      <c r="C16" s="1" t="n">
        <v>45851</v>
      </c>
      <c r="D16" t="inlineStr">
        <is>
          <t>JÖNKÖPINGS LÄN</t>
        </is>
      </c>
      <c r="E16" t="inlineStr">
        <is>
          <t>ANEBY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HYPERLINK("https://klasma.github.io/Logging_0604/artfynd/A 412-2022 artfynd.xlsx", "A 412-2022")</f>
        <v/>
      </c>
      <c r="T16">
        <f>HYPERLINK("https://klasma.github.io/Logging_0604/kartor/A 412-2022 karta.png", "A 412-2022")</f>
        <v/>
      </c>
      <c r="V16">
        <f>HYPERLINK("https://klasma.github.io/Logging_0604/klagomål/A 412-2022 FSC-klagomål.docx", "A 412-2022")</f>
        <v/>
      </c>
      <c r="W16">
        <f>HYPERLINK("https://klasma.github.io/Logging_0604/klagomålsmail/A 412-2022 FSC-klagomål mail.docx", "A 412-2022")</f>
        <v/>
      </c>
      <c r="X16">
        <f>HYPERLINK("https://klasma.github.io/Logging_0604/tillsyn/A 412-2022 tillsynsbegäran.docx", "A 412-2022")</f>
        <v/>
      </c>
      <c r="Y16">
        <f>HYPERLINK("https://klasma.github.io/Logging_0604/tillsynsmail/A 412-2022 tillsynsbegäran mail.docx", "A 412-2022")</f>
        <v/>
      </c>
    </row>
    <row r="17" ht="15" customHeight="1">
      <c r="A17" t="inlineStr">
        <is>
          <t>A 16508-2022</t>
        </is>
      </c>
      <c r="B17" s="1" t="n">
        <v>44671</v>
      </c>
      <c r="C17" s="1" t="n">
        <v>45851</v>
      </c>
      <c r="D17" t="inlineStr">
        <is>
          <t>JÖNKÖPINGS LÄN</t>
        </is>
      </c>
      <c r="E17" t="inlineStr">
        <is>
          <t>ANEBY</t>
        </is>
      </c>
      <c r="G17" t="n">
        <v>3.4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Trädlärka</t>
        </is>
      </c>
      <c r="S17">
        <f>HYPERLINK("https://klasma.github.io/Logging_0604/artfynd/A 16508-2022 artfynd.xlsx", "A 16508-2022")</f>
        <v/>
      </c>
      <c r="T17">
        <f>HYPERLINK("https://klasma.github.io/Logging_0604/kartor/A 16508-2022 karta.png", "A 16508-2022")</f>
        <v/>
      </c>
      <c r="V17">
        <f>HYPERLINK("https://klasma.github.io/Logging_0604/klagomål/A 16508-2022 FSC-klagomål.docx", "A 16508-2022")</f>
        <v/>
      </c>
      <c r="W17">
        <f>HYPERLINK("https://klasma.github.io/Logging_0604/klagomålsmail/A 16508-2022 FSC-klagomål mail.docx", "A 16508-2022")</f>
        <v/>
      </c>
      <c r="X17">
        <f>HYPERLINK("https://klasma.github.io/Logging_0604/tillsyn/A 16508-2022 tillsynsbegäran.docx", "A 16508-2022")</f>
        <v/>
      </c>
      <c r="Y17">
        <f>HYPERLINK("https://klasma.github.io/Logging_0604/tillsynsmail/A 16508-2022 tillsynsbegäran mail.docx", "A 16508-2022")</f>
        <v/>
      </c>
      <c r="Z17">
        <f>HYPERLINK("https://klasma.github.io/Logging_0604/fåglar/A 16508-2022 prioriterade fågelarter.docx", "A 16508-2022")</f>
        <v/>
      </c>
    </row>
    <row r="18" ht="15" customHeight="1">
      <c r="A18" t="inlineStr">
        <is>
          <t>A 26784-2022</t>
        </is>
      </c>
      <c r="B18" s="1" t="n">
        <v>44740</v>
      </c>
      <c r="C18" s="1" t="n">
        <v>45851</v>
      </c>
      <c r="D18" t="inlineStr">
        <is>
          <t>JÖNKÖPINGS LÄN</t>
        </is>
      </c>
      <c r="E18" t="inlineStr">
        <is>
          <t>ANEBY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HYPERLINK("https://klasma.github.io/Logging_0604/artfynd/A 26784-2022 artfynd.xlsx", "A 26784-2022")</f>
        <v/>
      </c>
      <c r="T18">
        <f>HYPERLINK("https://klasma.github.io/Logging_0604/kartor/A 26784-2022 karta.png", "A 26784-2022")</f>
        <v/>
      </c>
      <c r="V18">
        <f>HYPERLINK("https://klasma.github.io/Logging_0604/klagomål/A 26784-2022 FSC-klagomål.docx", "A 26784-2022")</f>
        <v/>
      </c>
      <c r="W18">
        <f>HYPERLINK("https://klasma.github.io/Logging_0604/klagomålsmail/A 26784-2022 FSC-klagomål mail.docx", "A 26784-2022")</f>
        <v/>
      </c>
      <c r="X18">
        <f>HYPERLINK("https://klasma.github.io/Logging_0604/tillsyn/A 26784-2022 tillsynsbegäran.docx", "A 26784-2022")</f>
        <v/>
      </c>
      <c r="Y18">
        <f>HYPERLINK("https://klasma.github.io/Logging_0604/tillsynsmail/A 26784-2022 tillsynsbegäran mail.docx", "A 26784-2022")</f>
        <v/>
      </c>
    </row>
    <row r="19" ht="15" customHeight="1">
      <c r="A19" t="inlineStr">
        <is>
          <t>A 28452-2022</t>
        </is>
      </c>
      <c r="B19" s="1" t="n">
        <v>44747</v>
      </c>
      <c r="C19" s="1" t="n">
        <v>45851</v>
      </c>
      <c r="D19" t="inlineStr">
        <is>
          <t>JÖNKÖPINGS LÄN</t>
        </is>
      </c>
      <c r="E19" t="inlineStr">
        <is>
          <t>ANEBY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Odontocerum albicorne</t>
        </is>
      </c>
      <c r="S19">
        <f>HYPERLINK("https://klasma.github.io/Logging_0604/artfynd/A 28452-2022 artfynd.xlsx", "A 28452-2022")</f>
        <v/>
      </c>
      <c r="T19">
        <f>HYPERLINK("https://klasma.github.io/Logging_0604/kartor/A 28452-2022 karta.png", "A 28452-2022")</f>
        <v/>
      </c>
      <c r="V19">
        <f>HYPERLINK("https://klasma.github.io/Logging_0604/klagomål/A 28452-2022 FSC-klagomål.docx", "A 28452-2022")</f>
        <v/>
      </c>
      <c r="W19">
        <f>HYPERLINK("https://klasma.github.io/Logging_0604/klagomålsmail/A 28452-2022 FSC-klagomål mail.docx", "A 28452-2022")</f>
        <v/>
      </c>
      <c r="X19">
        <f>HYPERLINK("https://klasma.github.io/Logging_0604/tillsyn/A 28452-2022 tillsynsbegäran.docx", "A 28452-2022")</f>
        <v/>
      </c>
      <c r="Y19">
        <f>HYPERLINK("https://klasma.github.io/Logging_0604/tillsynsmail/A 28452-2022 tillsynsbegäran mail.docx", "A 28452-2022")</f>
        <v/>
      </c>
    </row>
    <row r="20" ht="15" customHeight="1">
      <c r="A20" t="inlineStr">
        <is>
          <t>A 11022-2023</t>
        </is>
      </c>
      <c r="B20" s="1" t="n">
        <v>44991</v>
      </c>
      <c r="C20" s="1" t="n">
        <v>45851</v>
      </c>
      <c r="D20" t="inlineStr">
        <is>
          <t>JÖNKÖPINGS LÄN</t>
        </is>
      </c>
      <c r="E20" t="inlineStr">
        <is>
          <t>ANEBY</t>
        </is>
      </c>
      <c r="G20" t="n">
        <v>10.5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HYPERLINK("https://klasma.github.io/Logging_0604/artfynd/A 11022-2023 artfynd.xlsx", "A 11022-2023")</f>
        <v/>
      </c>
      <c r="T20">
        <f>HYPERLINK("https://klasma.github.io/Logging_0604/kartor/A 11022-2023 karta.png", "A 11022-2023")</f>
        <v/>
      </c>
      <c r="V20">
        <f>HYPERLINK("https://klasma.github.io/Logging_0604/klagomål/A 11022-2023 FSC-klagomål.docx", "A 11022-2023")</f>
        <v/>
      </c>
      <c r="W20">
        <f>HYPERLINK("https://klasma.github.io/Logging_0604/klagomålsmail/A 11022-2023 FSC-klagomål mail.docx", "A 11022-2023")</f>
        <v/>
      </c>
      <c r="X20">
        <f>HYPERLINK("https://klasma.github.io/Logging_0604/tillsyn/A 11022-2023 tillsynsbegäran.docx", "A 11022-2023")</f>
        <v/>
      </c>
      <c r="Y20">
        <f>HYPERLINK("https://klasma.github.io/Logging_0604/tillsynsmail/A 11022-2023 tillsynsbegäran mail.docx", "A 11022-2023")</f>
        <v/>
      </c>
    </row>
    <row r="21" ht="15" customHeight="1">
      <c r="A21" t="inlineStr">
        <is>
          <t>A 38338-2023</t>
        </is>
      </c>
      <c r="B21" s="1" t="n">
        <v>45161</v>
      </c>
      <c r="C21" s="1" t="n">
        <v>45851</v>
      </c>
      <c r="D21" t="inlineStr">
        <is>
          <t>JÖNKÖPINGS LÄN</t>
        </is>
      </c>
      <c r="E21" t="inlineStr">
        <is>
          <t>ANEBY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HYPERLINK("https://klasma.github.io/Logging_0604/artfynd/A 38338-2023 artfynd.xlsx", "A 38338-2023")</f>
        <v/>
      </c>
      <c r="T21">
        <f>HYPERLINK("https://klasma.github.io/Logging_0604/kartor/A 38338-2023 karta.png", "A 38338-2023")</f>
        <v/>
      </c>
      <c r="V21">
        <f>HYPERLINK("https://klasma.github.io/Logging_0604/klagomål/A 38338-2023 FSC-klagomål.docx", "A 38338-2023")</f>
        <v/>
      </c>
      <c r="W21">
        <f>HYPERLINK("https://klasma.github.io/Logging_0604/klagomålsmail/A 38338-2023 FSC-klagomål mail.docx", "A 38338-2023")</f>
        <v/>
      </c>
      <c r="X21">
        <f>HYPERLINK("https://klasma.github.io/Logging_0604/tillsyn/A 38338-2023 tillsynsbegäran.docx", "A 38338-2023")</f>
        <v/>
      </c>
      <c r="Y21">
        <f>HYPERLINK("https://klasma.github.io/Logging_0604/tillsynsmail/A 38338-2023 tillsynsbegäran mail.docx", "A 38338-2023")</f>
        <v/>
      </c>
    </row>
    <row r="22" ht="15" customHeight="1">
      <c r="A22" t="inlineStr">
        <is>
          <t>A 230-2024</t>
        </is>
      </c>
      <c r="B22" s="1" t="n">
        <v>45293</v>
      </c>
      <c r="C22" s="1" t="n">
        <v>45851</v>
      </c>
      <c r="D22" t="inlineStr">
        <is>
          <t>JÖNKÖPINGS LÄN</t>
        </is>
      </c>
      <c r="E22" t="inlineStr">
        <is>
          <t>ANEBY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HYPERLINK("https://klasma.github.io/Logging_0604/artfynd/A 230-2024 artfynd.xlsx", "A 230-2024")</f>
        <v/>
      </c>
      <c r="T22">
        <f>HYPERLINK("https://klasma.github.io/Logging_0604/kartor/A 230-2024 karta.png", "A 230-2024")</f>
        <v/>
      </c>
      <c r="V22">
        <f>HYPERLINK("https://klasma.github.io/Logging_0604/klagomål/A 230-2024 FSC-klagomål.docx", "A 230-2024")</f>
        <v/>
      </c>
      <c r="W22">
        <f>HYPERLINK("https://klasma.github.io/Logging_0604/klagomålsmail/A 230-2024 FSC-klagomål mail.docx", "A 230-2024")</f>
        <v/>
      </c>
      <c r="X22">
        <f>HYPERLINK("https://klasma.github.io/Logging_0604/tillsyn/A 230-2024 tillsynsbegäran.docx", "A 230-2024")</f>
        <v/>
      </c>
      <c r="Y22">
        <f>HYPERLINK("https://klasma.github.io/Logging_0604/tillsynsmail/A 230-2024 tillsynsbegäran mail.docx", "A 230-2024")</f>
        <v/>
      </c>
    </row>
    <row r="23" ht="15" customHeight="1">
      <c r="A23" t="inlineStr">
        <is>
          <t>A 24863-2024</t>
        </is>
      </c>
      <c r="B23" s="1" t="n">
        <v>45461</v>
      </c>
      <c r="C23" s="1" t="n">
        <v>45851</v>
      </c>
      <c r="D23" t="inlineStr">
        <is>
          <t>JÖNKÖPINGS LÄN</t>
        </is>
      </c>
      <c r="E23" t="inlineStr">
        <is>
          <t>ANEBY</t>
        </is>
      </c>
      <c r="G23" t="n">
        <v>4.8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HYPERLINK("https://klasma.github.io/Logging_0604/artfynd/A 24863-2024 artfynd.xlsx", "A 24863-2024")</f>
        <v/>
      </c>
      <c r="T23">
        <f>HYPERLINK("https://klasma.github.io/Logging_0604/kartor/A 24863-2024 karta.png", "A 24863-2024")</f>
        <v/>
      </c>
      <c r="V23">
        <f>HYPERLINK("https://klasma.github.io/Logging_0604/klagomål/A 24863-2024 FSC-klagomål.docx", "A 24863-2024")</f>
        <v/>
      </c>
      <c r="W23">
        <f>HYPERLINK("https://klasma.github.io/Logging_0604/klagomålsmail/A 24863-2024 FSC-klagomål mail.docx", "A 24863-2024")</f>
        <v/>
      </c>
      <c r="X23">
        <f>HYPERLINK("https://klasma.github.io/Logging_0604/tillsyn/A 24863-2024 tillsynsbegäran.docx", "A 24863-2024")</f>
        <v/>
      </c>
      <c r="Y23">
        <f>HYPERLINK("https://klasma.github.io/Logging_0604/tillsynsmail/A 24863-2024 tillsynsbegäran mail.docx", "A 24863-2024")</f>
        <v/>
      </c>
      <c r="Z23">
        <f>HYPERLINK("https://klasma.github.io/Logging_0604/fåglar/A 24863-2024 prioriterade fågelarter.docx", "A 24863-2024")</f>
        <v/>
      </c>
    </row>
    <row r="24" ht="15" customHeight="1">
      <c r="A24" t="inlineStr">
        <is>
          <t>A 25959-2024</t>
        </is>
      </c>
      <c r="B24" s="1" t="n">
        <v>45467</v>
      </c>
      <c r="C24" s="1" t="n">
        <v>45851</v>
      </c>
      <c r="D24" t="inlineStr">
        <is>
          <t>JÖNKÖPINGS LÄN</t>
        </is>
      </c>
      <c r="E24" t="inlineStr">
        <is>
          <t>ANEBY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HYPERLINK("https://klasma.github.io/Logging_0604/artfynd/A 25959-2024 artfynd.xlsx", "A 25959-2024")</f>
        <v/>
      </c>
      <c r="T24">
        <f>HYPERLINK("https://klasma.github.io/Logging_0604/kartor/A 25959-2024 karta.png", "A 25959-2024")</f>
        <v/>
      </c>
      <c r="V24">
        <f>HYPERLINK("https://klasma.github.io/Logging_0604/klagomål/A 25959-2024 FSC-klagomål.docx", "A 25959-2024")</f>
        <v/>
      </c>
      <c r="W24">
        <f>HYPERLINK("https://klasma.github.io/Logging_0604/klagomålsmail/A 25959-2024 FSC-klagomål mail.docx", "A 25959-2024")</f>
        <v/>
      </c>
      <c r="X24">
        <f>HYPERLINK("https://klasma.github.io/Logging_0604/tillsyn/A 25959-2024 tillsynsbegäran.docx", "A 25959-2024")</f>
        <v/>
      </c>
      <c r="Y24">
        <f>HYPERLINK("https://klasma.github.io/Logging_0604/tillsynsmail/A 25959-2024 tillsynsbegäran mail.docx", "A 25959-2024")</f>
        <v/>
      </c>
    </row>
    <row r="25" ht="15" customHeight="1">
      <c r="A25" t="inlineStr">
        <is>
          <t>A 38031-2024</t>
        </is>
      </c>
      <c r="B25" s="1" t="n">
        <v>45544</v>
      </c>
      <c r="C25" s="1" t="n">
        <v>45851</v>
      </c>
      <c r="D25" t="inlineStr">
        <is>
          <t>JÖNKÖPINGS LÄN</t>
        </is>
      </c>
      <c r="E25" t="inlineStr">
        <is>
          <t>ANEBY</t>
        </is>
      </c>
      <c r="F25" t="inlineStr">
        <is>
          <t>Övriga Aktiebolag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HYPERLINK("https://klasma.github.io/Logging_0604/artfynd/A 38031-2024 artfynd.xlsx", "A 38031-2024")</f>
        <v/>
      </c>
      <c r="T25">
        <f>HYPERLINK("https://klasma.github.io/Logging_0604/kartor/A 38031-2024 karta.png", "A 38031-2024")</f>
        <v/>
      </c>
      <c r="V25">
        <f>HYPERLINK("https://klasma.github.io/Logging_0604/klagomål/A 38031-2024 FSC-klagomål.docx", "A 38031-2024")</f>
        <v/>
      </c>
      <c r="W25">
        <f>HYPERLINK("https://klasma.github.io/Logging_0604/klagomålsmail/A 38031-2024 FSC-klagomål mail.docx", "A 38031-2024")</f>
        <v/>
      </c>
      <c r="X25">
        <f>HYPERLINK("https://klasma.github.io/Logging_0604/tillsyn/A 38031-2024 tillsynsbegäran.docx", "A 38031-2024")</f>
        <v/>
      </c>
      <c r="Y25">
        <f>HYPERLINK("https://klasma.github.io/Logging_0604/tillsynsmail/A 38031-2024 tillsynsbegäran mail.docx", "A 38031-2024")</f>
        <v/>
      </c>
    </row>
    <row r="26" ht="15" customHeight="1">
      <c r="A26" t="inlineStr">
        <is>
          <t>A 38725-2024</t>
        </is>
      </c>
      <c r="B26" s="1" t="n">
        <v>45547</v>
      </c>
      <c r="C26" s="1" t="n">
        <v>45851</v>
      </c>
      <c r="D26" t="inlineStr">
        <is>
          <t>JÖNKÖPINGS LÄN</t>
        </is>
      </c>
      <c r="E26" t="inlineStr">
        <is>
          <t>ANEBY</t>
        </is>
      </c>
      <c r="G26" t="n">
        <v>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HYPERLINK("https://klasma.github.io/Logging_0604/artfynd/A 38725-2024 artfynd.xlsx", "A 38725-2024")</f>
        <v/>
      </c>
      <c r="T26">
        <f>HYPERLINK("https://klasma.github.io/Logging_0604/kartor/A 38725-2024 karta.png", "A 38725-2024")</f>
        <v/>
      </c>
      <c r="U26">
        <f>HYPERLINK("https://klasma.github.io/Logging_0604/knärot/A 38725-2024 karta knärot.png", "A 38725-2024")</f>
        <v/>
      </c>
      <c r="V26">
        <f>HYPERLINK("https://klasma.github.io/Logging_0604/klagomål/A 38725-2024 FSC-klagomål.docx", "A 38725-2024")</f>
        <v/>
      </c>
      <c r="W26">
        <f>HYPERLINK("https://klasma.github.io/Logging_0604/klagomålsmail/A 38725-2024 FSC-klagomål mail.docx", "A 38725-2024")</f>
        <v/>
      </c>
      <c r="X26">
        <f>HYPERLINK("https://klasma.github.io/Logging_0604/tillsyn/A 38725-2024 tillsynsbegäran.docx", "A 38725-2024")</f>
        <v/>
      </c>
      <c r="Y26">
        <f>HYPERLINK("https://klasma.github.io/Logging_0604/tillsynsmail/A 38725-2024 tillsynsbegäran mail.docx", "A 38725-2024")</f>
        <v/>
      </c>
    </row>
    <row r="27" ht="15" customHeight="1">
      <c r="A27" t="inlineStr">
        <is>
          <t>A 8131-2025</t>
        </is>
      </c>
      <c r="B27" s="1" t="n">
        <v>45707</v>
      </c>
      <c r="C27" s="1" t="n">
        <v>45851</v>
      </c>
      <c r="D27" t="inlineStr">
        <is>
          <t>JÖNKÖPINGS LÄN</t>
        </is>
      </c>
      <c r="E27" t="inlineStr">
        <is>
          <t>ANEBY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HYPERLINK("https://klasma.github.io/Logging_0604/artfynd/A 8131-2025 artfynd.xlsx", "A 8131-2025")</f>
        <v/>
      </c>
      <c r="T27">
        <f>HYPERLINK("https://klasma.github.io/Logging_0604/kartor/A 8131-2025 karta.png", "A 8131-2025")</f>
        <v/>
      </c>
      <c r="V27">
        <f>HYPERLINK("https://klasma.github.io/Logging_0604/klagomål/A 8131-2025 FSC-klagomål.docx", "A 8131-2025")</f>
        <v/>
      </c>
      <c r="W27">
        <f>HYPERLINK("https://klasma.github.io/Logging_0604/klagomålsmail/A 8131-2025 FSC-klagomål mail.docx", "A 8131-2025")</f>
        <v/>
      </c>
      <c r="X27">
        <f>HYPERLINK("https://klasma.github.io/Logging_0604/tillsyn/A 8131-2025 tillsynsbegäran.docx", "A 8131-2025")</f>
        <v/>
      </c>
      <c r="Y27">
        <f>HYPERLINK("https://klasma.github.io/Logging_0604/tillsynsmail/A 8131-2025 tillsynsbegäran mail.docx", "A 8131-2025")</f>
        <v/>
      </c>
    </row>
    <row r="28" ht="15" customHeight="1">
      <c r="A28" t="inlineStr">
        <is>
          <t>A 18854-2019</t>
        </is>
      </c>
      <c r="B28" s="1" t="n">
        <v>43563</v>
      </c>
      <c r="C28" s="1" t="n">
        <v>45851</v>
      </c>
      <c r="D28" t="inlineStr">
        <is>
          <t>JÖNKÖPINGS LÄN</t>
        </is>
      </c>
      <c r="E28" t="inlineStr">
        <is>
          <t>ANEBY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19085-2019</t>
        </is>
      </c>
      <c r="B29" s="1" t="n">
        <v>43564</v>
      </c>
      <c r="C29" s="1" t="n">
        <v>45851</v>
      </c>
      <c r="D29" t="inlineStr">
        <is>
          <t>JÖNKÖPINGS LÄN</t>
        </is>
      </c>
      <c r="E29" t="inlineStr">
        <is>
          <t>ANEBY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20527-2019</t>
        </is>
      </c>
      <c r="B30" s="1" t="n">
        <v>43572</v>
      </c>
      <c r="C30" s="1" t="n">
        <v>45851</v>
      </c>
      <c r="D30" t="inlineStr">
        <is>
          <t>JÖNKÖPINGS LÄN</t>
        </is>
      </c>
      <c r="E30" t="inlineStr">
        <is>
          <t>ANEBY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21108-2019</t>
        </is>
      </c>
      <c r="B31" s="1" t="n">
        <v>43578</v>
      </c>
      <c r="C31" s="1" t="n">
        <v>45851</v>
      </c>
      <c r="D31" t="inlineStr">
        <is>
          <t>JÖNKÖPINGS LÄN</t>
        </is>
      </c>
      <c r="E31" t="inlineStr">
        <is>
          <t>ANEBY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20949-2019</t>
        </is>
      </c>
      <c r="B32" s="1" t="n">
        <v>43578</v>
      </c>
      <c r="C32" s="1" t="n">
        <v>45851</v>
      </c>
      <c r="D32" t="inlineStr">
        <is>
          <t>JÖNKÖPINGS LÄN</t>
        </is>
      </c>
      <c r="E32" t="inlineStr">
        <is>
          <t>ANEBY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23870-2019</t>
        </is>
      </c>
      <c r="B33" s="1" t="n">
        <v>43595</v>
      </c>
      <c r="C33" s="1" t="n">
        <v>45851</v>
      </c>
      <c r="D33" t="inlineStr">
        <is>
          <t>JÖNKÖPINGS LÄN</t>
        </is>
      </c>
      <c r="E33" t="inlineStr">
        <is>
          <t>ANEBY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24037-2019</t>
        </is>
      </c>
      <c r="B34" s="1" t="n">
        <v>43598</v>
      </c>
      <c r="C34" s="1" t="n">
        <v>45851</v>
      </c>
      <c r="D34" t="inlineStr">
        <is>
          <t>JÖNKÖPINGS LÄN</t>
        </is>
      </c>
      <c r="E34" t="inlineStr">
        <is>
          <t>ANEBY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24194-2019</t>
        </is>
      </c>
      <c r="B35" s="1" t="n">
        <v>43599</v>
      </c>
      <c r="C35" s="1" t="n">
        <v>45851</v>
      </c>
      <c r="D35" t="inlineStr">
        <is>
          <t>JÖNKÖPINGS LÄN</t>
        </is>
      </c>
      <c r="E35" t="inlineStr">
        <is>
          <t>ANEBY</t>
        </is>
      </c>
      <c r="F35" t="inlineStr">
        <is>
          <t>Kyrkan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24745-2019</t>
        </is>
      </c>
      <c r="B36" s="1" t="n">
        <v>43599</v>
      </c>
      <c r="C36" s="1" t="n">
        <v>45851</v>
      </c>
      <c r="D36" t="inlineStr">
        <is>
          <t>JÖNKÖPINGS LÄN</t>
        </is>
      </c>
      <c r="E36" t="inlineStr">
        <is>
          <t>ANEBY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28081-2019</t>
        </is>
      </c>
      <c r="B37" s="1" t="n">
        <v>43621</v>
      </c>
      <c r="C37" s="1" t="n">
        <v>45851</v>
      </c>
      <c r="D37" t="inlineStr">
        <is>
          <t>JÖNKÖPINGS LÄN</t>
        </is>
      </c>
      <c r="E37" t="inlineStr">
        <is>
          <t>ANEBY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28742-2019</t>
        </is>
      </c>
      <c r="B38" s="1" t="n">
        <v>43627</v>
      </c>
      <c r="C38" s="1" t="n">
        <v>45851</v>
      </c>
      <c r="D38" t="inlineStr">
        <is>
          <t>JÖNKÖPINGS LÄN</t>
        </is>
      </c>
      <c r="E38" t="inlineStr">
        <is>
          <t>ANEBY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30363-2019</t>
        </is>
      </c>
      <c r="B39" s="1" t="n">
        <v>43634</v>
      </c>
      <c r="C39" s="1" t="n">
        <v>45851</v>
      </c>
      <c r="D39" t="inlineStr">
        <is>
          <t>JÖNKÖPINGS LÄN</t>
        </is>
      </c>
      <c r="E39" t="inlineStr">
        <is>
          <t>ANEBY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31219-2019</t>
        </is>
      </c>
      <c r="B40" s="1" t="n">
        <v>43635</v>
      </c>
      <c r="C40" s="1" t="n">
        <v>45851</v>
      </c>
      <c r="D40" t="inlineStr">
        <is>
          <t>JÖNKÖPINGS LÄN</t>
        </is>
      </c>
      <c r="E40" t="inlineStr">
        <is>
          <t>ANEBY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31212-2019</t>
        </is>
      </c>
      <c r="B41" s="1" t="n">
        <v>43640</v>
      </c>
      <c r="C41" s="1" t="n">
        <v>45851</v>
      </c>
      <c r="D41" t="inlineStr">
        <is>
          <t>JÖNKÖPINGS LÄN</t>
        </is>
      </c>
      <c r="E41" t="inlineStr">
        <is>
          <t>ANEBY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31333-2019</t>
        </is>
      </c>
      <c r="B42" s="1" t="n">
        <v>43641</v>
      </c>
      <c r="C42" s="1" t="n">
        <v>45851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31458-2019</t>
        </is>
      </c>
      <c r="B43" s="1" t="n">
        <v>43641</v>
      </c>
      <c r="C43" s="1" t="n">
        <v>45851</v>
      </c>
      <c r="D43" t="inlineStr">
        <is>
          <t>JÖNKÖPINGS LÄN</t>
        </is>
      </c>
      <c r="E43" t="inlineStr">
        <is>
          <t>ANEBY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34629-2019</t>
        </is>
      </c>
      <c r="B44" s="1" t="n">
        <v>43647</v>
      </c>
      <c r="C44" s="1" t="n">
        <v>45851</v>
      </c>
      <c r="D44" t="inlineStr">
        <is>
          <t>JÖNKÖPINGS LÄN</t>
        </is>
      </c>
      <c r="E44" t="inlineStr">
        <is>
          <t>ANEBY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34633-2019</t>
        </is>
      </c>
      <c r="B45" s="1" t="n">
        <v>43647</v>
      </c>
      <c r="C45" s="1" t="n">
        <v>45851</v>
      </c>
      <c r="D45" t="inlineStr">
        <is>
          <t>JÖNKÖPINGS LÄN</t>
        </is>
      </c>
      <c r="E45" t="inlineStr">
        <is>
          <t>ANEBY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33620-2019</t>
        </is>
      </c>
      <c r="B46" s="1" t="n">
        <v>43651</v>
      </c>
      <c r="C46" s="1" t="n">
        <v>45851</v>
      </c>
      <c r="D46" t="inlineStr">
        <is>
          <t>JÖNKÖPINGS LÄN</t>
        </is>
      </c>
      <c r="E46" t="inlineStr">
        <is>
          <t>ANEBY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34287-2019</t>
        </is>
      </c>
      <c r="B47" s="1" t="n">
        <v>43655</v>
      </c>
      <c r="C47" s="1" t="n">
        <v>45851</v>
      </c>
      <c r="D47" t="inlineStr">
        <is>
          <t>JÖNKÖPINGS LÄN</t>
        </is>
      </c>
      <c r="E47" t="inlineStr">
        <is>
          <t>ANEBY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35830-2019</t>
        </is>
      </c>
      <c r="B48" s="1" t="n">
        <v>43656</v>
      </c>
      <c r="C48" s="1" t="n">
        <v>45851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35839-2019</t>
        </is>
      </c>
      <c r="B49" s="1" t="n">
        <v>43656</v>
      </c>
      <c r="C49" s="1" t="n">
        <v>45851</v>
      </c>
      <c r="D49" t="inlineStr">
        <is>
          <t>JÖNKÖPINGS LÄN</t>
        </is>
      </c>
      <c r="E49" t="inlineStr">
        <is>
          <t>ANEBY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35849-2019</t>
        </is>
      </c>
      <c r="B50" s="1" t="n">
        <v>43656</v>
      </c>
      <c r="C50" s="1" t="n">
        <v>45851</v>
      </c>
      <c r="D50" t="inlineStr">
        <is>
          <t>JÖNKÖPINGS LÄN</t>
        </is>
      </c>
      <c r="E50" t="inlineStr">
        <is>
          <t>ANEBY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35807-2019</t>
        </is>
      </c>
      <c r="B51" s="1" t="n">
        <v>43656</v>
      </c>
      <c r="C51" s="1" t="n">
        <v>45851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35837-2019</t>
        </is>
      </c>
      <c r="B52" s="1" t="n">
        <v>43656</v>
      </c>
      <c r="C52" s="1" t="n">
        <v>45851</v>
      </c>
      <c r="D52" t="inlineStr">
        <is>
          <t>JÖNKÖPINGS LÄN</t>
        </is>
      </c>
      <c r="E52" t="inlineStr">
        <is>
          <t>ANEBY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35847-2019</t>
        </is>
      </c>
      <c r="B53" s="1" t="n">
        <v>43656</v>
      </c>
      <c r="C53" s="1" t="n">
        <v>45851</v>
      </c>
      <c r="D53" t="inlineStr">
        <is>
          <t>JÖNKÖPINGS LÄN</t>
        </is>
      </c>
      <c r="E53" t="inlineStr">
        <is>
          <t>ANEBY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39188-2019</t>
        </is>
      </c>
      <c r="B54" s="1" t="n">
        <v>43690</v>
      </c>
      <c r="C54" s="1" t="n">
        <v>45851</v>
      </c>
      <c r="D54" t="inlineStr">
        <is>
          <t>JÖNKÖPINGS LÄN</t>
        </is>
      </c>
      <c r="E54" t="inlineStr">
        <is>
          <t>ANEBY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39685-2019</t>
        </is>
      </c>
      <c r="B55" s="1" t="n">
        <v>43691</v>
      </c>
      <c r="C55" s="1" t="n">
        <v>45851</v>
      </c>
      <c r="D55" t="inlineStr">
        <is>
          <t>JÖNKÖPINGS LÄN</t>
        </is>
      </c>
      <c r="E55" t="inlineStr">
        <is>
          <t>ANEBY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41305-2019</t>
        </is>
      </c>
      <c r="B56" s="1" t="n">
        <v>43698</v>
      </c>
      <c r="C56" s="1" t="n">
        <v>45851</v>
      </c>
      <c r="D56" t="inlineStr">
        <is>
          <t>JÖNKÖPINGS LÄN</t>
        </is>
      </c>
      <c r="E56" t="inlineStr">
        <is>
          <t>ANEBY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42224-2019</t>
        </is>
      </c>
      <c r="B57" s="1" t="n">
        <v>43698</v>
      </c>
      <c r="C57" s="1" t="n">
        <v>45851</v>
      </c>
      <c r="D57" t="inlineStr">
        <is>
          <t>JÖNKÖPINGS LÄN</t>
        </is>
      </c>
      <c r="E57" t="inlineStr">
        <is>
          <t>ANEBY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42229-2019</t>
        </is>
      </c>
      <c r="B58" s="1" t="n">
        <v>43698</v>
      </c>
      <c r="C58" s="1" t="n">
        <v>45851</v>
      </c>
      <c r="D58" t="inlineStr">
        <is>
          <t>JÖNKÖPINGS LÄN</t>
        </is>
      </c>
      <c r="E58" t="inlineStr">
        <is>
          <t>ANEBY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41567-2019</t>
        </is>
      </c>
      <c r="B59" s="1" t="n">
        <v>43699</v>
      </c>
      <c r="C59" s="1" t="n">
        <v>45851</v>
      </c>
      <c r="D59" t="inlineStr">
        <is>
          <t>JÖNKÖPINGS LÄN</t>
        </is>
      </c>
      <c r="E59" t="inlineStr">
        <is>
          <t>ANEBY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42315-2019</t>
        </is>
      </c>
      <c r="B60" s="1" t="n">
        <v>43703</v>
      </c>
      <c r="C60" s="1" t="n">
        <v>45851</v>
      </c>
      <c r="D60" t="inlineStr">
        <is>
          <t>JÖNKÖPINGS LÄN</t>
        </is>
      </c>
      <c r="E60" t="inlineStr">
        <is>
          <t>ANEBY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44395-2019</t>
        </is>
      </c>
      <c r="B61" s="1" t="n">
        <v>43710</v>
      </c>
      <c r="C61" s="1" t="n">
        <v>45851</v>
      </c>
      <c r="D61" t="inlineStr">
        <is>
          <t>JÖNKÖPINGS LÄN</t>
        </is>
      </c>
      <c r="E61" t="inlineStr">
        <is>
          <t>ANEBY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44101-2019</t>
        </is>
      </c>
      <c r="B62" s="1" t="n">
        <v>43710</v>
      </c>
      <c r="C62" s="1" t="n">
        <v>45851</v>
      </c>
      <c r="D62" t="inlineStr">
        <is>
          <t>JÖNKÖPINGS LÄN</t>
        </is>
      </c>
      <c r="E62" t="inlineStr">
        <is>
          <t>ANEBY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44338-2019</t>
        </is>
      </c>
      <c r="B63" s="1" t="n">
        <v>43711</v>
      </c>
      <c r="C63" s="1" t="n">
        <v>45851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44425-2019</t>
        </is>
      </c>
      <c r="B64" s="1" t="n">
        <v>43711</v>
      </c>
      <c r="C64" s="1" t="n">
        <v>45851</v>
      </c>
      <c r="D64" t="inlineStr">
        <is>
          <t>JÖNKÖPINGS LÄN</t>
        </is>
      </c>
      <c r="E64" t="inlineStr">
        <is>
          <t>ANEBY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44339-2019</t>
        </is>
      </c>
      <c r="B65" s="1" t="n">
        <v>43711</v>
      </c>
      <c r="C65" s="1" t="n">
        <v>45851</v>
      </c>
      <c r="D65" t="inlineStr">
        <is>
          <t>JÖNKÖPINGS LÄN</t>
        </is>
      </c>
      <c r="E65" t="inlineStr">
        <is>
          <t>ANEBY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44693-2019</t>
        </is>
      </c>
      <c r="B66" s="1" t="n">
        <v>43712</v>
      </c>
      <c r="C66" s="1" t="n">
        <v>45851</v>
      </c>
      <c r="D66" t="inlineStr">
        <is>
          <t>JÖNKÖPINGS LÄN</t>
        </is>
      </c>
      <c r="E66" t="inlineStr">
        <is>
          <t>ANEBY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46324-2019</t>
        </is>
      </c>
      <c r="B67" s="1" t="n">
        <v>43718</v>
      </c>
      <c r="C67" s="1" t="n">
        <v>45851</v>
      </c>
      <c r="D67" t="inlineStr">
        <is>
          <t>JÖNKÖPINGS LÄN</t>
        </is>
      </c>
      <c r="E67" t="inlineStr">
        <is>
          <t>ANEBY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46328-2019</t>
        </is>
      </c>
      <c r="B68" s="1" t="n">
        <v>43718</v>
      </c>
      <c r="C68" s="1" t="n">
        <v>45851</v>
      </c>
      <c r="D68" t="inlineStr">
        <is>
          <t>JÖNKÖPINGS LÄN</t>
        </is>
      </c>
      <c r="E68" t="inlineStr">
        <is>
          <t>ANEBY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46076-2019</t>
        </is>
      </c>
      <c r="B69" s="1" t="n">
        <v>43718</v>
      </c>
      <c r="C69" s="1" t="n">
        <v>45851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46521-2019</t>
        </is>
      </c>
      <c r="B70" s="1" t="n">
        <v>43719</v>
      </c>
      <c r="C70" s="1" t="n">
        <v>45851</v>
      </c>
      <c r="D70" t="inlineStr">
        <is>
          <t>JÖNKÖPINGS LÄN</t>
        </is>
      </c>
      <c r="E70" t="inlineStr">
        <is>
          <t>ANEBY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47293-2019</t>
        </is>
      </c>
      <c r="B71" s="1" t="n">
        <v>43721</v>
      </c>
      <c r="C71" s="1" t="n">
        <v>45851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47289-2019</t>
        </is>
      </c>
      <c r="B72" s="1" t="n">
        <v>43721</v>
      </c>
      <c r="C72" s="1" t="n">
        <v>45851</v>
      </c>
      <c r="D72" t="inlineStr">
        <is>
          <t>JÖNKÖPINGS LÄN</t>
        </is>
      </c>
      <c r="E72" t="inlineStr">
        <is>
          <t>ANEBY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47861-2019</t>
        </is>
      </c>
      <c r="B73" s="1" t="n">
        <v>43725</v>
      </c>
      <c r="C73" s="1" t="n">
        <v>45851</v>
      </c>
      <c r="D73" t="inlineStr">
        <is>
          <t>JÖNKÖPINGS LÄN</t>
        </is>
      </c>
      <c r="E73" t="inlineStr">
        <is>
          <t>ANEBY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48498-2019</t>
        </is>
      </c>
      <c r="B74" s="1" t="n">
        <v>43726</v>
      </c>
      <c r="C74" s="1" t="n">
        <v>45851</v>
      </c>
      <c r="D74" t="inlineStr">
        <is>
          <t>JÖNKÖPINGS LÄN</t>
        </is>
      </c>
      <c r="E74" t="inlineStr">
        <is>
          <t>ANEBY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53002-2019</t>
        </is>
      </c>
      <c r="B75" s="1" t="n">
        <v>43735</v>
      </c>
      <c r="C75" s="1" t="n">
        <v>45851</v>
      </c>
      <c r="D75" t="inlineStr">
        <is>
          <t>JÖNKÖPINGS LÄN</t>
        </is>
      </c>
      <c r="E75" t="inlineStr">
        <is>
          <t>ANEBY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52381-2019</t>
        </is>
      </c>
      <c r="B76" s="1" t="n">
        <v>43745</v>
      </c>
      <c r="C76" s="1" t="n">
        <v>45851</v>
      </c>
      <c r="D76" t="inlineStr">
        <is>
          <t>JÖNKÖPINGS LÄN</t>
        </is>
      </c>
      <c r="E76" t="inlineStr">
        <is>
          <t>ANEBY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53113-2019</t>
        </is>
      </c>
      <c r="B77" s="1" t="n">
        <v>43747</v>
      </c>
      <c r="C77" s="1" t="n">
        <v>45851</v>
      </c>
      <c r="D77" t="inlineStr">
        <is>
          <t>JÖNKÖPINGS LÄN</t>
        </is>
      </c>
      <c r="E77" t="inlineStr">
        <is>
          <t>ANEBY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56989-2019</t>
        </is>
      </c>
      <c r="B78" s="1" t="n">
        <v>43766</v>
      </c>
      <c r="C78" s="1" t="n">
        <v>45851</v>
      </c>
      <c r="D78" t="inlineStr">
        <is>
          <t>JÖNKÖPINGS LÄN</t>
        </is>
      </c>
      <c r="E78" t="inlineStr">
        <is>
          <t>ANEBY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58958-2019</t>
        </is>
      </c>
      <c r="B79" s="1" t="n">
        <v>43769</v>
      </c>
      <c r="C79" s="1" t="n">
        <v>45851</v>
      </c>
      <c r="D79" t="inlineStr">
        <is>
          <t>JÖNKÖPINGS LÄN</t>
        </is>
      </c>
      <c r="E79" t="inlineStr">
        <is>
          <t>ANEBY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61635-2019</t>
        </is>
      </c>
      <c r="B80" s="1" t="n">
        <v>43784</v>
      </c>
      <c r="C80" s="1" t="n">
        <v>45851</v>
      </c>
      <c r="D80" t="inlineStr">
        <is>
          <t>JÖNKÖPINGS LÄN</t>
        </is>
      </c>
      <c r="E80" t="inlineStr">
        <is>
          <t>ANEBY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62393-2019</t>
        </is>
      </c>
      <c r="B81" s="1" t="n">
        <v>43788</v>
      </c>
      <c r="C81" s="1" t="n">
        <v>45851</v>
      </c>
      <c r="D81" t="inlineStr">
        <is>
          <t>JÖNKÖPINGS LÄN</t>
        </is>
      </c>
      <c r="E81" t="inlineStr">
        <is>
          <t>ANEBY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66057-2019</t>
        </is>
      </c>
      <c r="B82" s="1" t="n">
        <v>43806</v>
      </c>
      <c r="C82" s="1" t="n">
        <v>45851</v>
      </c>
      <c r="D82" t="inlineStr">
        <is>
          <t>JÖNKÖPINGS LÄN</t>
        </is>
      </c>
      <c r="E82" t="inlineStr">
        <is>
          <t>ANEBY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66857-2019</t>
        </is>
      </c>
      <c r="B83" s="1" t="n">
        <v>43810</v>
      </c>
      <c r="C83" s="1" t="n">
        <v>45851</v>
      </c>
      <c r="D83" t="inlineStr">
        <is>
          <t>JÖNKÖPINGS LÄN</t>
        </is>
      </c>
      <c r="E83" t="inlineStr">
        <is>
          <t>ANEBY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68039-2019</t>
        </is>
      </c>
      <c r="B84" s="1" t="n">
        <v>43816</v>
      </c>
      <c r="C84" s="1" t="n">
        <v>45851</v>
      </c>
      <c r="D84" t="inlineStr">
        <is>
          <t>JÖNKÖPINGS LÄN</t>
        </is>
      </c>
      <c r="E84" t="inlineStr">
        <is>
          <t>ANEBY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68206-2019</t>
        </is>
      </c>
      <c r="B85" s="1" t="n">
        <v>43817</v>
      </c>
      <c r="C85" s="1" t="n">
        <v>45851</v>
      </c>
      <c r="D85" t="inlineStr">
        <is>
          <t>JÖNKÖPINGS LÄN</t>
        </is>
      </c>
      <c r="E85" t="inlineStr">
        <is>
          <t>ANEBY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5085-2020</t>
        </is>
      </c>
      <c r="B86" s="1" t="n">
        <v>43859</v>
      </c>
      <c r="C86" s="1" t="n">
        <v>45851</v>
      </c>
      <c r="D86" t="inlineStr">
        <is>
          <t>JÖNKÖPINGS LÄN</t>
        </is>
      </c>
      <c r="E86" t="inlineStr">
        <is>
          <t>ANEBY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5282-2020</t>
        </is>
      </c>
      <c r="B87" s="1" t="n">
        <v>43860</v>
      </c>
      <c r="C87" s="1" t="n">
        <v>45851</v>
      </c>
      <c r="D87" t="inlineStr">
        <is>
          <t>JÖNKÖPINGS LÄN</t>
        </is>
      </c>
      <c r="E87" t="inlineStr">
        <is>
          <t>ANEBY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5497-2020</t>
        </is>
      </c>
      <c r="B88" s="1" t="n">
        <v>43861</v>
      </c>
      <c r="C88" s="1" t="n">
        <v>45851</v>
      </c>
      <c r="D88" t="inlineStr">
        <is>
          <t>JÖNKÖPINGS LÄN</t>
        </is>
      </c>
      <c r="E88" t="inlineStr">
        <is>
          <t>ANEBY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6369-2020</t>
        </is>
      </c>
      <c r="B89" s="1" t="n">
        <v>43866</v>
      </c>
      <c r="C89" s="1" t="n">
        <v>45851</v>
      </c>
      <c r="D89" t="inlineStr">
        <is>
          <t>JÖNKÖPINGS LÄN</t>
        </is>
      </c>
      <c r="E89" t="inlineStr">
        <is>
          <t>ANEBY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9050-2020</t>
        </is>
      </c>
      <c r="B90" s="1" t="n">
        <v>43879</v>
      </c>
      <c r="C90" s="1" t="n">
        <v>45851</v>
      </c>
      <c r="D90" t="inlineStr">
        <is>
          <t>JÖNKÖPINGS LÄN</t>
        </is>
      </c>
      <c r="E90" t="inlineStr">
        <is>
          <t>ANEBY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10133-2020</t>
        </is>
      </c>
      <c r="B91" s="1" t="n">
        <v>43887</v>
      </c>
      <c r="C91" s="1" t="n">
        <v>45851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10128-2020</t>
        </is>
      </c>
      <c r="B92" s="1" t="n">
        <v>43887</v>
      </c>
      <c r="C92" s="1" t="n">
        <v>45851</v>
      </c>
      <c r="D92" t="inlineStr">
        <is>
          <t>JÖNKÖPINGS LÄN</t>
        </is>
      </c>
      <c r="E92" t="inlineStr">
        <is>
          <t>ANEBY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11292-2020</t>
        </is>
      </c>
      <c r="B93" s="1" t="n">
        <v>43892</v>
      </c>
      <c r="C93" s="1" t="n">
        <v>45851</v>
      </c>
      <c r="D93" t="inlineStr">
        <is>
          <t>JÖNKÖPINGS LÄN</t>
        </is>
      </c>
      <c r="E93" t="inlineStr">
        <is>
          <t>ANEBY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12719-2020</t>
        </is>
      </c>
      <c r="B94" s="1" t="n">
        <v>43899</v>
      </c>
      <c r="C94" s="1" t="n">
        <v>45851</v>
      </c>
      <c r="D94" t="inlineStr">
        <is>
          <t>JÖNKÖPINGS LÄN</t>
        </is>
      </c>
      <c r="E94" t="inlineStr">
        <is>
          <t>ANEBY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15459-2020</t>
        </is>
      </c>
      <c r="B95" s="1" t="n">
        <v>43914</v>
      </c>
      <c r="C95" s="1" t="n">
        <v>45851</v>
      </c>
      <c r="D95" t="inlineStr">
        <is>
          <t>JÖNKÖPINGS LÄN</t>
        </is>
      </c>
      <c r="E95" t="inlineStr">
        <is>
          <t>ANEBY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19658-2020</t>
        </is>
      </c>
      <c r="B96" s="1" t="n">
        <v>43937</v>
      </c>
      <c r="C96" s="1" t="n">
        <v>45851</v>
      </c>
      <c r="D96" t="inlineStr">
        <is>
          <t>JÖNKÖPINGS LÄN</t>
        </is>
      </c>
      <c r="E96" t="inlineStr">
        <is>
          <t>ANEBY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19356-2020</t>
        </is>
      </c>
      <c r="B97" s="1" t="n">
        <v>43938</v>
      </c>
      <c r="C97" s="1" t="n">
        <v>45851</v>
      </c>
      <c r="D97" t="inlineStr">
        <is>
          <t>JÖNKÖPINGS LÄN</t>
        </is>
      </c>
      <c r="E97" t="inlineStr">
        <is>
          <t>ANEBY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19360-2020</t>
        </is>
      </c>
      <c r="B98" s="1" t="n">
        <v>43938</v>
      </c>
      <c r="C98" s="1" t="n">
        <v>45851</v>
      </c>
      <c r="D98" t="inlineStr">
        <is>
          <t>JÖNKÖPINGS LÄN</t>
        </is>
      </c>
      <c r="E98" t="inlineStr">
        <is>
          <t>ANEBY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19351-2020</t>
        </is>
      </c>
      <c r="B99" s="1" t="n">
        <v>43938</v>
      </c>
      <c r="C99" s="1" t="n">
        <v>45851</v>
      </c>
      <c r="D99" t="inlineStr">
        <is>
          <t>JÖNKÖPINGS LÄN</t>
        </is>
      </c>
      <c r="E99" t="inlineStr">
        <is>
          <t>ANEBY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19358-2020</t>
        </is>
      </c>
      <c r="B100" s="1" t="n">
        <v>43938</v>
      </c>
      <c r="C100" s="1" t="n">
        <v>45851</v>
      </c>
      <c r="D100" t="inlineStr">
        <is>
          <t>JÖNKÖPINGS LÄN</t>
        </is>
      </c>
      <c r="E100" t="inlineStr">
        <is>
          <t>ANEBY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20581-2020</t>
        </is>
      </c>
      <c r="B101" s="1" t="n">
        <v>43948</v>
      </c>
      <c r="C101" s="1" t="n">
        <v>45851</v>
      </c>
      <c r="D101" t="inlineStr">
        <is>
          <t>JÖNKÖPINGS LÄN</t>
        </is>
      </c>
      <c r="E101" t="inlineStr">
        <is>
          <t>ANEBY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20711-2020</t>
        </is>
      </c>
      <c r="B102" s="1" t="n">
        <v>43948</v>
      </c>
      <c r="C102" s="1" t="n">
        <v>45851</v>
      </c>
      <c r="D102" t="inlineStr">
        <is>
          <t>JÖNKÖPINGS LÄN</t>
        </is>
      </c>
      <c r="E102" t="inlineStr">
        <is>
          <t>ANEBY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23584-2020</t>
        </is>
      </c>
      <c r="B103" s="1" t="n">
        <v>43969</v>
      </c>
      <c r="C103" s="1" t="n">
        <v>45851</v>
      </c>
      <c r="D103" t="inlineStr">
        <is>
          <t>JÖNKÖPINGS LÄN</t>
        </is>
      </c>
      <c r="E103" t="inlineStr">
        <is>
          <t>ANEBY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24989-2020</t>
        </is>
      </c>
      <c r="B104" s="1" t="n">
        <v>43979</v>
      </c>
      <c r="C104" s="1" t="n">
        <v>45851</v>
      </c>
      <c r="D104" t="inlineStr">
        <is>
          <t>JÖNKÖPINGS LÄN</t>
        </is>
      </c>
      <c r="E104" t="inlineStr">
        <is>
          <t>ANEBY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25267-2020</t>
        </is>
      </c>
      <c r="B105" s="1" t="n">
        <v>43979</v>
      </c>
      <c r="C105" s="1" t="n">
        <v>45851</v>
      </c>
      <c r="D105" t="inlineStr">
        <is>
          <t>JÖNKÖPINGS LÄN</t>
        </is>
      </c>
      <c r="E105" t="inlineStr">
        <is>
          <t>ANEBY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25851-2020</t>
        </is>
      </c>
      <c r="B106" s="1" t="n">
        <v>43984</v>
      </c>
      <c r="C106" s="1" t="n">
        <v>45851</v>
      </c>
      <c r="D106" t="inlineStr">
        <is>
          <t>JÖNKÖPINGS LÄN</t>
        </is>
      </c>
      <c r="E106" t="inlineStr">
        <is>
          <t>ANEBY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25950-2020</t>
        </is>
      </c>
      <c r="B107" s="1" t="n">
        <v>43985</v>
      </c>
      <c r="C107" s="1" t="n">
        <v>45851</v>
      </c>
      <c r="D107" t="inlineStr">
        <is>
          <t>JÖNKÖPINGS LÄN</t>
        </is>
      </c>
      <c r="E107" t="inlineStr">
        <is>
          <t>ANEBY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25947-2020</t>
        </is>
      </c>
      <c r="B108" s="1" t="n">
        <v>43985</v>
      </c>
      <c r="C108" s="1" t="n">
        <v>45851</v>
      </c>
      <c r="D108" t="inlineStr">
        <is>
          <t>JÖNKÖPINGS LÄN</t>
        </is>
      </c>
      <c r="E108" t="inlineStr">
        <is>
          <t>ANEBY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30282-2020</t>
        </is>
      </c>
      <c r="B109" s="1" t="n">
        <v>44007</v>
      </c>
      <c r="C109" s="1" t="n">
        <v>45851</v>
      </c>
      <c r="D109" t="inlineStr">
        <is>
          <t>JÖNKÖPINGS LÄN</t>
        </is>
      </c>
      <c r="E109" t="inlineStr">
        <is>
          <t>ANEBY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31526-2020</t>
        </is>
      </c>
      <c r="B110" s="1" t="n">
        <v>44013</v>
      </c>
      <c r="C110" s="1" t="n">
        <v>45851</v>
      </c>
      <c r="D110" t="inlineStr">
        <is>
          <t>JÖNKÖPINGS LÄN</t>
        </is>
      </c>
      <c r="E110" t="inlineStr">
        <is>
          <t>ANEBY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32547-2020</t>
        </is>
      </c>
      <c r="B111" s="1" t="n">
        <v>44018</v>
      </c>
      <c r="C111" s="1" t="n">
        <v>45851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32566-2020</t>
        </is>
      </c>
      <c r="B112" s="1" t="n">
        <v>44018</v>
      </c>
      <c r="C112" s="1" t="n">
        <v>45851</v>
      </c>
      <c r="D112" t="inlineStr">
        <is>
          <t>JÖNKÖPINGS LÄN</t>
        </is>
      </c>
      <c r="E112" t="inlineStr">
        <is>
          <t>ANEBY</t>
        </is>
      </c>
      <c r="F112" t="inlineStr">
        <is>
          <t>Övriga Aktiebolag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34325-2020</t>
        </is>
      </c>
      <c r="B113" s="1" t="n">
        <v>44028</v>
      </c>
      <c r="C113" s="1" t="n">
        <v>45851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34320-2020</t>
        </is>
      </c>
      <c r="B114" s="1" t="n">
        <v>44028</v>
      </c>
      <c r="C114" s="1" t="n">
        <v>45851</v>
      </c>
      <c r="D114" t="inlineStr">
        <is>
          <t>JÖNKÖPINGS LÄN</t>
        </is>
      </c>
      <c r="E114" t="inlineStr">
        <is>
          <t>ANEBY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36042-2020</t>
        </is>
      </c>
      <c r="B115" s="1" t="n">
        <v>44048</v>
      </c>
      <c r="C115" s="1" t="n">
        <v>45851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36597-2020</t>
        </is>
      </c>
      <c r="B116" s="1" t="n">
        <v>44050</v>
      </c>
      <c r="C116" s="1" t="n">
        <v>45851</v>
      </c>
      <c r="D116" t="inlineStr">
        <is>
          <t>JÖNKÖPINGS LÄN</t>
        </is>
      </c>
      <c r="E116" t="inlineStr">
        <is>
          <t>ANEBY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38221-2020</t>
        </is>
      </c>
      <c r="B117" s="1" t="n">
        <v>44060</v>
      </c>
      <c r="C117" s="1" t="n">
        <v>45851</v>
      </c>
      <c r="D117" t="inlineStr">
        <is>
          <t>JÖNKÖPINGS LÄN</t>
        </is>
      </c>
      <c r="E117" t="inlineStr">
        <is>
          <t>ANEBY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38800-2020</t>
        </is>
      </c>
      <c r="B118" s="1" t="n">
        <v>44062</v>
      </c>
      <c r="C118" s="1" t="n">
        <v>45851</v>
      </c>
      <c r="D118" t="inlineStr">
        <is>
          <t>JÖNKÖPINGS LÄN</t>
        </is>
      </c>
      <c r="E118" t="inlineStr">
        <is>
          <t>ANEBY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41960-2020</t>
        </is>
      </c>
      <c r="B119" s="1" t="n">
        <v>44075</v>
      </c>
      <c r="C119" s="1" t="n">
        <v>45851</v>
      </c>
      <c r="D119" t="inlineStr">
        <is>
          <t>JÖNKÖPINGS LÄN</t>
        </is>
      </c>
      <c r="E119" t="inlineStr">
        <is>
          <t>ANEBY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42797-2020</t>
        </is>
      </c>
      <c r="B120" s="1" t="n">
        <v>44078</v>
      </c>
      <c r="C120" s="1" t="n">
        <v>45851</v>
      </c>
      <c r="D120" t="inlineStr">
        <is>
          <t>JÖNKÖPINGS LÄN</t>
        </is>
      </c>
      <c r="E120" t="inlineStr">
        <is>
          <t>ANEBY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45007-2020</t>
        </is>
      </c>
      <c r="B121" s="1" t="n">
        <v>44088</v>
      </c>
      <c r="C121" s="1" t="n">
        <v>45851</v>
      </c>
      <c r="D121" t="inlineStr">
        <is>
          <t>JÖNKÖPINGS LÄN</t>
        </is>
      </c>
      <c r="E121" t="inlineStr">
        <is>
          <t>ANEBY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46941-2020</t>
        </is>
      </c>
      <c r="B122" s="1" t="n">
        <v>44096</v>
      </c>
      <c r="C122" s="1" t="n">
        <v>45851</v>
      </c>
      <c r="D122" t="inlineStr">
        <is>
          <t>JÖNKÖPINGS LÄN</t>
        </is>
      </c>
      <c r="E122" t="inlineStr">
        <is>
          <t>ANEBY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46943-2020</t>
        </is>
      </c>
      <c r="B123" s="1" t="n">
        <v>44096</v>
      </c>
      <c r="C123" s="1" t="n">
        <v>45851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47246-2020</t>
        </is>
      </c>
      <c r="B124" s="1" t="n">
        <v>44097</v>
      </c>
      <c r="C124" s="1" t="n">
        <v>45851</v>
      </c>
      <c r="D124" t="inlineStr">
        <is>
          <t>JÖNKÖPINGS LÄN</t>
        </is>
      </c>
      <c r="E124" t="inlineStr">
        <is>
          <t>ANEBY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48678-2020</t>
        </is>
      </c>
      <c r="B125" s="1" t="n">
        <v>44098</v>
      </c>
      <c r="C125" s="1" t="n">
        <v>45851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51978-2020</t>
        </is>
      </c>
      <c r="B126" s="1" t="n">
        <v>44116</v>
      </c>
      <c r="C126" s="1" t="n">
        <v>45851</v>
      </c>
      <c r="D126" t="inlineStr">
        <is>
          <t>JÖNKÖPINGS LÄN</t>
        </is>
      </c>
      <c r="E126" t="inlineStr">
        <is>
          <t>ANEBY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54029-2020</t>
        </is>
      </c>
      <c r="B127" s="1" t="n">
        <v>44125</v>
      </c>
      <c r="C127" s="1" t="n">
        <v>45851</v>
      </c>
      <c r="D127" t="inlineStr">
        <is>
          <t>JÖNKÖPINGS LÄN</t>
        </is>
      </c>
      <c r="E127" t="inlineStr">
        <is>
          <t>ANEBY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55420-2020</t>
        </is>
      </c>
      <c r="B128" s="1" t="n">
        <v>44130</v>
      </c>
      <c r="C128" s="1" t="n">
        <v>45851</v>
      </c>
      <c r="D128" t="inlineStr">
        <is>
          <t>JÖNKÖPINGS LÄN</t>
        </is>
      </c>
      <c r="E128" t="inlineStr">
        <is>
          <t>ANEBY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60266-2020</t>
        </is>
      </c>
      <c r="B129" s="1" t="n">
        <v>44152</v>
      </c>
      <c r="C129" s="1" t="n">
        <v>45851</v>
      </c>
      <c r="D129" t="inlineStr">
        <is>
          <t>JÖNKÖPINGS LÄN</t>
        </is>
      </c>
      <c r="E129" t="inlineStr">
        <is>
          <t>ANEBY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61966-2020</t>
        </is>
      </c>
      <c r="B130" s="1" t="n">
        <v>44156</v>
      </c>
      <c r="C130" s="1" t="n">
        <v>45851</v>
      </c>
      <c r="D130" t="inlineStr">
        <is>
          <t>JÖNKÖPINGS LÄN</t>
        </is>
      </c>
      <c r="E130" t="inlineStr">
        <is>
          <t>ANEBY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63030-2020</t>
        </is>
      </c>
      <c r="B131" s="1" t="n">
        <v>44162</v>
      </c>
      <c r="C131" s="1" t="n">
        <v>45851</v>
      </c>
      <c r="D131" t="inlineStr">
        <is>
          <t>JÖNKÖPINGS LÄN</t>
        </is>
      </c>
      <c r="E131" t="inlineStr">
        <is>
          <t>ANEBY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65452-2020</t>
        </is>
      </c>
      <c r="B132" s="1" t="n">
        <v>44169</v>
      </c>
      <c r="C132" s="1" t="n">
        <v>45851</v>
      </c>
      <c r="D132" t="inlineStr">
        <is>
          <t>JÖNKÖPINGS LÄN</t>
        </is>
      </c>
      <c r="E132" t="inlineStr">
        <is>
          <t>ANEBY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67848-2020</t>
        </is>
      </c>
      <c r="B133" s="1" t="n">
        <v>44182</v>
      </c>
      <c r="C133" s="1" t="n">
        <v>45851</v>
      </c>
      <c r="D133" t="inlineStr">
        <is>
          <t>JÖNKÖPINGS LÄN</t>
        </is>
      </c>
      <c r="E133" t="inlineStr">
        <is>
          <t>ANEBY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68400-2020</t>
        </is>
      </c>
      <c r="B134" s="1" t="n">
        <v>44186</v>
      </c>
      <c r="C134" s="1" t="n">
        <v>45851</v>
      </c>
      <c r="D134" t="inlineStr">
        <is>
          <t>JÖNKÖPINGS LÄN</t>
        </is>
      </c>
      <c r="E134" t="inlineStr">
        <is>
          <t>ANEBY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1791-2021</t>
        </is>
      </c>
      <c r="B135" s="1" t="n">
        <v>44210</v>
      </c>
      <c r="C135" s="1" t="n">
        <v>45851</v>
      </c>
      <c r="D135" t="inlineStr">
        <is>
          <t>JÖNKÖPINGS LÄN</t>
        </is>
      </c>
      <c r="E135" t="inlineStr">
        <is>
          <t>ANEBY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5126-2021</t>
        </is>
      </c>
      <c r="B136" s="1" t="n">
        <v>44228</v>
      </c>
      <c r="C136" s="1" t="n">
        <v>45851</v>
      </c>
      <c r="D136" t="inlineStr">
        <is>
          <t>JÖNKÖPINGS LÄN</t>
        </is>
      </c>
      <c r="E136" t="inlineStr">
        <is>
          <t>ANEBY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7919-2021</t>
        </is>
      </c>
      <c r="B137" s="1" t="n">
        <v>44242</v>
      </c>
      <c r="C137" s="1" t="n">
        <v>45851</v>
      </c>
      <c r="D137" t="inlineStr">
        <is>
          <t>JÖNKÖPINGS LÄN</t>
        </is>
      </c>
      <c r="E137" t="inlineStr">
        <is>
          <t>ANEBY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10360-2021</t>
        </is>
      </c>
      <c r="B138" s="1" t="n">
        <v>44257</v>
      </c>
      <c r="C138" s="1" t="n">
        <v>45851</v>
      </c>
      <c r="D138" t="inlineStr">
        <is>
          <t>JÖNKÖPINGS LÄN</t>
        </is>
      </c>
      <c r="E138" t="inlineStr">
        <is>
          <t>ANEBY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12936-2021</t>
        </is>
      </c>
      <c r="B139" s="1" t="n">
        <v>44271</v>
      </c>
      <c r="C139" s="1" t="n">
        <v>45851</v>
      </c>
      <c r="D139" t="inlineStr">
        <is>
          <t>JÖNKÖPINGS LÄN</t>
        </is>
      </c>
      <c r="E139" t="inlineStr">
        <is>
          <t>ANEBY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14899-2021</t>
        </is>
      </c>
      <c r="B140" s="1" t="n">
        <v>44280</v>
      </c>
      <c r="C140" s="1" t="n">
        <v>45851</v>
      </c>
      <c r="D140" t="inlineStr">
        <is>
          <t>JÖNKÖPINGS LÄN</t>
        </is>
      </c>
      <c r="E140" t="inlineStr">
        <is>
          <t>ANEBY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17561-2021</t>
        </is>
      </c>
      <c r="B141" s="1" t="n">
        <v>44299</v>
      </c>
      <c r="C141" s="1" t="n">
        <v>45851</v>
      </c>
      <c r="D141" t="inlineStr">
        <is>
          <t>JÖNKÖPINGS LÄN</t>
        </is>
      </c>
      <c r="E141" t="inlineStr">
        <is>
          <t>ANEBY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17981-2021</t>
        </is>
      </c>
      <c r="B142" s="1" t="n">
        <v>44301</v>
      </c>
      <c r="C142" s="1" t="n">
        <v>45851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8.800000000000001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20128-2021</t>
        </is>
      </c>
      <c r="B143" s="1" t="n">
        <v>44314</v>
      </c>
      <c r="C143" s="1" t="n">
        <v>45851</v>
      </c>
      <c r="D143" t="inlineStr">
        <is>
          <t>JÖNKÖPINGS LÄN</t>
        </is>
      </c>
      <c r="E143" t="inlineStr">
        <is>
          <t>ANEBY</t>
        </is>
      </c>
      <c r="F143" t="inlineStr">
        <is>
          <t>Övriga Aktiebolag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22285-2021</t>
        </is>
      </c>
      <c r="B144" s="1" t="n">
        <v>44326</v>
      </c>
      <c r="C144" s="1" t="n">
        <v>45851</v>
      </c>
      <c r="D144" t="inlineStr">
        <is>
          <t>JÖNKÖPINGS LÄN</t>
        </is>
      </c>
      <c r="E144" t="inlineStr">
        <is>
          <t>ANEBY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22232-2021</t>
        </is>
      </c>
      <c r="B145" s="1" t="n">
        <v>44326</v>
      </c>
      <c r="C145" s="1" t="n">
        <v>45851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22797-2021</t>
        </is>
      </c>
      <c r="B146" s="1" t="n">
        <v>44327</v>
      </c>
      <c r="C146" s="1" t="n">
        <v>45851</v>
      </c>
      <c r="D146" t="inlineStr">
        <is>
          <t>JÖNKÖPINGS LÄN</t>
        </is>
      </c>
      <c r="E146" t="inlineStr">
        <is>
          <t>ANEBY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22796-2021</t>
        </is>
      </c>
      <c r="B147" s="1" t="n">
        <v>44327</v>
      </c>
      <c r="C147" s="1" t="n">
        <v>45851</v>
      </c>
      <c r="D147" t="inlineStr">
        <is>
          <t>JÖNKÖPINGS LÄN</t>
        </is>
      </c>
      <c r="E147" t="inlineStr">
        <is>
          <t>ANEBY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25636-2021</t>
        </is>
      </c>
      <c r="B148" s="1" t="n">
        <v>44343</v>
      </c>
      <c r="C148" s="1" t="n">
        <v>45851</v>
      </c>
      <c r="D148" t="inlineStr">
        <is>
          <t>JÖNKÖPINGS LÄN</t>
        </is>
      </c>
      <c r="E148" t="inlineStr">
        <is>
          <t>ANEBY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25753-2021</t>
        </is>
      </c>
      <c r="B149" s="1" t="n">
        <v>44343</v>
      </c>
      <c r="C149" s="1" t="n">
        <v>45851</v>
      </c>
      <c r="D149" t="inlineStr">
        <is>
          <t>JÖNKÖPINGS LÄN</t>
        </is>
      </c>
      <c r="E149" t="inlineStr">
        <is>
          <t>ANEBY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28938-2021</t>
        </is>
      </c>
      <c r="B150" s="1" t="n">
        <v>44357</v>
      </c>
      <c r="C150" s="1" t="n">
        <v>45851</v>
      </c>
      <c r="D150" t="inlineStr">
        <is>
          <t>JÖNKÖPINGS LÄN</t>
        </is>
      </c>
      <c r="E150" t="inlineStr">
        <is>
          <t>ANEBY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28942-2021</t>
        </is>
      </c>
      <c r="B151" s="1" t="n">
        <v>44357</v>
      </c>
      <c r="C151" s="1" t="n">
        <v>45851</v>
      </c>
      <c r="D151" t="inlineStr">
        <is>
          <t>JÖNKÖPINGS LÄN</t>
        </is>
      </c>
      <c r="E151" t="inlineStr">
        <is>
          <t>ANEBY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29133-2021</t>
        </is>
      </c>
      <c r="B152" s="1" t="n">
        <v>44358</v>
      </c>
      <c r="C152" s="1" t="n">
        <v>45851</v>
      </c>
      <c r="D152" t="inlineStr">
        <is>
          <t>JÖNKÖPINGS LÄN</t>
        </is>
      </c>
      <c r="E152" t="inlineStr">
        <is>
          <t>ANEBY</t>
        </is>
      </c>
      <c r="F152" t="inlineStr">
        <is>
          <t>Övriga Aktiebolag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33255-2021</t>
        </is>
      </c>
      <c r="B153" s="1" t="n">
        <v>44377</v>
      </c>
      <c r="C153" s="1" t="n">
        <v>45851</v>
      </c>
      <c r="D153" t="inlineStr">
        <is>
          <t>JÖNKÖPINGS LÄN</t>
        </is>
      </c>
      <c r="E153" t="inlineStr">
        <is>
          <t>ANEBY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35693-2021</t>
        </is>
      </c>
      <c r="B154" s="1" t="n">
        <v>44386</v>
      </c>
      <c r="C154" s="1" t="n">
        <v>45851</v>
      </c>
      <c r="D154" t="inlineStr">
        <is>
          <t>JÖNKÖPINGS LÄN</t>
        </is>
      </c>
      <c r="E154" t="inlineStr">
        <is>
          <t>ANEBY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35688-2021</t>
        </is>
      </c>
      <c r="B155" s="1" t="n">
        <v>44386</v>
      </c>
      <c r="C155" s="1" t="n">
        <v>45851</v>
      </c>
      <c r="D155" t="inlineStr">
        <is>
          <t>JÖNKÖPINGS LÄN</t>
        </is>
      </c>
      <c r="E155" t="inlineStr">
        <is>
          <t>ANEBY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40849-2021</t>
        </is>
      </c>
      <c r="B156" s="1" t="n">
        <v>44421</v>
      </c>
      <c r="C156" s="1" t="n">
        <v>45851</v>
      </c>
      <c r="D156" t="inlineStr">
        <is>
          <t>JÖNKÖPINGS LÄN</t>
        </is>
      </c>
      <c r="E156" t="inlineStr">
        <is>
          <t>ANEBY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41144-2021</t>
        </is>
      </c>
      <c r="B157" s="1" t="n">
        <v>44423</v>
      </c>
      <c r="C157" s="1" t="n">
        <v>45851</v>
      </c>
      <c r="D157" t="inlineStr">
        <is>
          <t>JÖNKÖPINGS LÄN</t>
        </is>
      </c>
      <c r="E157" t="inlineStr">
        <is>
          <t>ANEBY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41615-2021</t>
        </is>
      </c>
      <c r="B158" s="1" t="n">
        <v>44425</v>
      </c>
      <c r="C158" s="1" t="n">
        <v>45851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45283-2021</t>
        </is>
      </c>
      <c r="B159" s="1" t="n">
        <v>44439</v>
      </c>
      <c r="C159" s="1" t="n">
        <v>45851</v>
      </c>
      <c r="D159" t="inlineStr">
        <is>
          <t>JÖNKÖPINGS LÄN</t>
        </is>
      </c>
      <c r="E159" t="inlineStr">
        <is>
          <t>ANEBY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48518-2021</t>
        </is>
      </c>
      <c r="B160" s="1" t="n">
        <v>44452</v>
      </c>
      <c r="C160" s="1" t="n">
        <v>45851</v>
      </c>
      <c r="D160" t="inlineStr">
        <is>
          <t>JÖNKÖPINGS LÄN</t>
        </is>
      </c>
      <c r="E160" t="inlineStr">
        <is>
          <t>ANEBY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49870-2021</t>
        </is>
      </c>
      <c r="B161" s="1" t="n">
        <v>44455</v>
      </c>
      <c r="C161" s="1" t="n">
        <v>45851</v>
      </c>
      <c r="D161" t="inlineStr">
        <is>
          <t>JÖNKÖPINGS LÄN</t>
        </is>
      </c>
      <c r="E161" t="inlineStr">
        <is>
          <t>ANEBY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49813-2021</t>
        </is>
      </c>
      <c r="B162" s="1" t="n">
        <v>44455</v>
      </c>
      <c r="C162" s="1" t="n">
        <v>45851</v>
      </c>
      <c r="D162" t="inlineStr">
        <is>
          <t>JÖNKÖPINGS LÄN</t>
        </is>
      </c>
      <c r="E162" t="inlineStr">
        <is>
          <t>ANEBY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49814-2021</t>
        </is>
      </c>
      <c r="B163" s="1" t="n">
        <v>44455</v>
      </c>
      <c r="C163" s="1" t="n">
        <v>45851</v>
      </c>
      <c r="D163" t="inlineStr">
        <is>
          <t>JÖNKÖPINGS LÄN</t>
        </is>
      </c>
      <c r="E163" t="inlineStr">
        <is>
          <t>ANEBY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51452-2021</t>
        </is>
      </c>
      <c r="B164" s="1" t="n">
        <v>44460</v>
      </c>
      <c r="C164" s="1" t="n">
        <v>45851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45851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45851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45851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45851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45851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45851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45851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45851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45851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45851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45851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45851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45851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45851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45851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45851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45851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45851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45851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45851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45851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45851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45851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45851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45851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45851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45851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45851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45851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45851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45851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45851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45851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45851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45851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45851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45851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45851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45851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45851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45851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45851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45851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45851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45851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45851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45851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45851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45851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45851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45851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45851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45851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45851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45851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45851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45851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45851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45851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45851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45851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45851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45851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45851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45851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45851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45851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45851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45851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45851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45851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45851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45851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45851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45851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45851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45851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45851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45851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45851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45851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45851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45851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45851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45851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45851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45851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45851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45851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45851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45851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45851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45851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45851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45851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45851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45851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45851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45851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45851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45851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45851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45851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45851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45851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45851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45851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45851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45851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45851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45851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45851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45851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45851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45851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45851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45851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45851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45851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45851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45851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45851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45851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45851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45851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45851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45851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45851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45851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45851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45851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45851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45851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45851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45851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45851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45851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45851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45851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45851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45851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45851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45851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45851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45851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HYPERLINK("https://klasma.github.io/Logging_0604/knärot/A 15662-2023 karta knärot.png", "A 15662-2023")</f>
        <v/>
      </c>
      <c r="V309">
        <f>HYPERLINK("https://klasma.github.io/Logging_0604/klagomål/A 15662-2023 FSC-klagomål.docx", "A 15662-2023")</f>
        <v/>
      </c>
      <c r="W309">
        <f>HYPERLINK("https://klasma.github.io/Logging_0604/klagomålsmail/A 15662-2023 FSC-klagomål mail.docx", "A 15662-2023")</f>
        <v/>
      </c>
      <c r="X309">
        <f>HYPERLINK("https://klasma.github.io/Logging_0604/tillsyn/A 15662-2023 tillsynsbegäran.docx", "A 15662-2023")</f>
        <v/>
      </c>
      <c r="Y309">
        <f>HYPERLINK("https://klasma.github.io/Logging_0604/tillsynsmail/A 15662-2023 tillsynsbegäran mail.docx", "A 15662-2023")</f>
        <v/>
      </c>
    </row>
    <row r="310" ht="15" customHeight="1">
      <c r="A310" t="inlineStr">
        <is>
          <t>A 16308-2023</t>
        </is>
      </c>
      <c r="B310" s="1" t="n">
        <v>45028</v>
      </c>
      <c r="C310" s="1" t="n">
        <v>45851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45851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45851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45851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45851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45851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45851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45851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45851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45851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45851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45851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45851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45851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45851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45851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45851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45851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45851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45851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45851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45851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45851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45851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45851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45851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45851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45851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45851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45851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45851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45851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45851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45851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45851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45851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45851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45851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45851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45851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45851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45851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45851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45851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45851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45851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45851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45851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45851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45851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45851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45851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45851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45851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45851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45851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45851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45851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45851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45851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45851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45851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45851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45851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45851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45851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45851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45851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45851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45851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45851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45851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45851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45851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45851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45851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45851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45851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45851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45851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45851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45851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45851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45851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45851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45851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45851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45851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45851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45851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45851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45851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45851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45851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45851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45851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45851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45851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45851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45851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45851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45851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45851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45851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45851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45851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45851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45851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45851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45851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45851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45851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45851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45851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45851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45851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45851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45851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45851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45851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45851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45851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45851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45851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45851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45851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45851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45851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45851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45851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45851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45851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45851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45851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45851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45851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45851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45851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45851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45851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45851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45851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45851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45851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45851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45851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45851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45851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45851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45851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45851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45851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45851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45851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45851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45851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45851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45851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45851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45851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45851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45851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45851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45851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45851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45851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45851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45851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45851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45851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45851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45851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45851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45851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45851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45851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45851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45851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45851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45851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45851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45851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45851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45851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45851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45851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45851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45851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45851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45851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45851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45851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45851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45851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45851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45851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45851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45851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45851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45851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45851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45851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45851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45851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45851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45851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45851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45851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45851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45851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45851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45851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45851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45851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45851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45851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45851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45851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45851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45851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45851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45851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45851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45851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45851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45851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45851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45851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45851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45851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45851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45851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45851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45851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45851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45851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45851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45851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45851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45851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45851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45851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45851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45851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45851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45851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45851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45851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45851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45851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45851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45851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45851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45851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45851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45851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45851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45851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45851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45851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45851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45851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45851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45851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45851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45851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45851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45851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45851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45851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45851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45851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45851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45851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45851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45851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45851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45851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45851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45851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45851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45851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45851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45851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45851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45851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45851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45851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45851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45851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45851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45851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45851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45851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45851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45851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45851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45851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45851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45851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45851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45851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45851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45851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45851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45851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45851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45851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45851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16597-2025</t>
        </is>
      </c>
      <c r="B619" s="1" t="n">
        <v>45753</v>
      </c>
      <c r="C619" s="1" t="n">
        <v>45851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17877-2025</t>
        </is>
      </c>
      <c r="B620" s="1" t="n">
        <v>45758</v>
      </c>
      <c r="C620" s="1" t="n">
        <v>45851</v>
      </c>
      <c r="D620" t="inlineStr">
        <is>
          <t>JÖNKÖPINGS LÄN</t>
        </is>
      </c>
      <c r="E620" t="inlineStr">
        <is>
          <t>ANEBY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18438-2025</t>
        </is>
      </c>
      <c r="B621" s="1" t="n">
        <v>45762</v>
      </c>
      <c r="C621" s="1" t="n">
        <v>45851</v>
      </c>
      <c r="D621" t="inlineStr">
        <is>
          <t>JÖNKÖPINGS LÄN</t>
        </is>
      </c>
      <c r="E621" t="inlineStr">
        <is>
          <t>ANEBY</t>
        </is>
      </c>
      <c r="F621" t="inlineStr">
        <is>
          <t>Övriga Aktiebolag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18552-2025</t>
        </is>
      </c>
      <c r="B622" s="1" t="n">
        <v>45763</v>
      </c>
      <c r="C622" s="1" t="n">
        <v>45851</v>
      </c>
      <c r="D622" t="inlineStr">
        <is>
          <t>JÖNKÖPINGS LÄN</t>
        </is>
      </c>
      <c r="E622" t="inlineStr">
        <is>
          <t>ANEBY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19335-2025</t>
        </is>
      </c>
      <c r="B623" s="1" t="n">
        <v>45769</v>
      </c>
      <c r="C623" s="1" t="n">
        <v>45851</v>
      </c>
      <c r="D623" t="inlineStr">
        <is>
          <t>JÖNKÖPINGS LÄN</t>
        </is>
      </c>
      <c r="E623" t="inlineStr">
        <is>
          <t>ANEBY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19362-2025</t>
        </is>
      </c>
      <c r="B624" s="1" t="n">
        <v>45769</v>
      </c>
      <c r="C624" s="1" t="n">
        <v>45851</v>
      </c>
      <c r="D624" t="inlineStr">
        <is>
          <t>JÖNKÖPINGS LÄN</t>
        </is>
      </c>
      <c r="E624" t="inlineStr">
        <is>
          <t>ANEBY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19943-2025</t>
        </is>
      </c>
      <c r="B625" s="1" t="n">
        <v>45771</v>
      </c>
      <c r="C625" s="1" t="n">
        <v>45851</v>
      </c>
      <c r="D625" t="inlineStr">
        <is>
          <t>JÖNKÖPINGS LÄN</t>
        </is>
      </c>
      <c r="E625" t="inlineStr">
        <is>
          <t>ANEBY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20219-2025</t>
        </is>
      </c>
      <c r="B626" s="1" t="n">
        <v>45772</v>
      </c>
      <c r="C626" s="1" t="n">
        <v>45851</v>
      </c>
      <c r="D626" t="inlineStr">
        <is>
          <t>JÖNKÖPINGS LÄN</t>
        </is>
      </c>
      <c r="E626" t="inlineStr">
        <is>
          <t>ANEBY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20568-2025</t>
        </is>
      </c>
      <c r="B627" s="1" t="n">
        <v>45775</v>
      </c>
      <c r="C627" s="1" t="n">
        <v>45851</v>
      </c>
      <c r="D627" t="inlineStr">
        <is>
          <t>JÖNKÖPINGS LÄN</t>
        </is>
      </c>
      <c r="E627" t="inlineStr">
        <is>
          <t>ANEBY</t>
        </is>
      </c>
      <c r="F627" t="inlineStr">
        <is>
          <t>Kyrkan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20569-2025</t>
        </is>
      </c>
      <c r="B628" s="1" t="n">
        <v>45775</v>
      </c>
      <c r="C628" s="1" t="n">
        <v>45851</v>
      </c>
      <c r="D628" t="inlineStr">
        <is>
          <t>JÖNKÖPINGS LÄN</t>
        </is>
      </c>
      <c r="E628" t="inlineStr">
        <is>
          <t>ANEBY</t>
        </is>
      </c>
      <c r="F628" t="inlineStr">
        <is>
          <t>Kyrkan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21333-2025</t>
        </is>
      </c>
      <c r="B629" s="1" t="n">
        <v>45782</v>
      </c>
      <c r="C629" s="1" t="n">
        <v>45851</v>
      </c>
      <c r="D629" t="inlineStr">
        <is>
          <t>JÖNKÖPINGS LÄN</t>
        </is>
      </c>
      <c r="E629" t="inlineStr">
        <is>
          <t>ANEBY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23598-2025</t>
        </is>
      </c>
      <c r="B630" s="1" t="n">
        <v>45792</v>
      </c>
      <c r="C630" s="1" t="n">
        <v>45851</v>
      </c>
      <c r="D630" t="inlineStr">
        <is>
          <t>JÖNKÖPINGS LÄN</t>
        </is>
      </c>
      <c r="E630" t="inlineStr">
        <is>
          <t>ANEBY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23966-2025</t>
        </is>
      </c>
      <c r="B631" s="1" t="n">
        <v>45796</v>
      </c>
      <c r="C631" s="1" t="n">
        <v>45851</v>
      </c>
      <c r="D631" t="inlineStr">
        <is>
          <t>JÖNKÖPINGS LÄN</t>
        </is>
      </c>
      <c r="E631" t="inlineStr">
        <is>
          <t>ANEBY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24708-2025</t>
        </is>
      </c>
      <c r="B632" s="1" t="n">
        <v>45798</v>
      </c>
      <c r="C632" s="1" t="n">
        <v>45851</v>
      </c>
      <c r="D632" t="inlineStr">
        <is>
          <t>JÖNKÖPINGS LÄN</t>
        </is>
      </c>
      <c r="E632" t="inlineStr">
        <is>
          <t>ANEBY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24709-2025</t>
        </is>
      </c>
      <c r="B633" s="1" t="n">
        <v>45798</v>
      </c>
      <c r="C633" s="1" t="n">
        <v>45851</v>
      </c>
      <c r="D633" t="inlineStr">
        <is>
          <t>JÖNKÖPINGS LÄN</t>
        </is>
      </c>
      <c r="E633" t="inlineStr">
        <is>
          <t>ANEBY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27205-2025</t>
        </is>
      </c>
      <c r="B634" s="1" t="n">
        <v>45812</v>
      </c>
      <c r="C634" s="1" t="n">
        <v>45851</v>
      </c>
      <c r="D634" t="inlineStr">
        <is>
          <t>JÖNKÖPINGS LÄN</t>
        </is>
      </c>
      <c r="E634" t="inlineStr">
        <is>
          <t>ANEBY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27204-2025</t>
        </is>
      </c>
      <c r="B635" s="1" t="n">
        <v>45812</v>
      </c>
      <c r="C635" s="1" t="n">
        <v>45851</v>
      </c>
      <c r="D635" t="inlineStr">
        <is>
          <t>JÖNKÖPINGS LÄN</t>
        </is>
      </c>
      <c r="E635" t="inlineStr">
        <is>
          <t>ANEBY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28543-2025</t>
        </is>
      </c>
      <c r="B636" s="1" t="n">
        <v>45819</v>
      </c>
      <c r="C636" s="1" t="n">
        <v>45851</v>
      </c>
      <c r="D636" t="inlineStr">
        <is>
          <t>JÖNKÖPINGS LÄN</t>
        </is>
      </c>
      <c r="E636" t="inlineStr">
        <is>
          <t>ANEBY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28541-2025</t>
        </is>
      </c>
      <c r="B637" s="1" t="n">
        <v>45819</v>
      </c>
      <c r="C637" s="1" t="n">
        <v>45851</v>
      </c>
      <c r="D637" t="inlineStr">
        <is>
          <t>JÖNKÖPINGS LÄN</t>
        </is>
      </c>
      <c r="E637" t="inlineStr">
        <is>
          <t>ANEBY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28540-2025</t>
        </is>
      </c>
      <c r="B638" s="1" t="n">
        <v>45819</v>
      </c>
      <c r="C638" s="1" t="n">
        <v>45851</v>
      </c>
      <c r="D638" t="inlineStr">
        <is>
          <t>JÖNKÖPINGS LÄN</t>
        </is>
      </c>
      <c r="E638" t="inlineStr">
        <is>
          <t>ANEBY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29469-2025</t>
        </is>
      </c>
      <c r="B639" s="1" t="n">
        <v>45824</v>
      </c>
      <c r="C639" s="1" t="n">
        <v>45851</v>
      </c>
      <c r="D639" t="inlineStr">
        <is>
          <t>JÖNKÖPINGS LÄN</t>
        </is>
      </c>
      <c r="E639" t="inlineStr">
        <is>
          <t>ANEBY</t>
        </is>
      </c>
      <c r="F639" t="inlineStr">
        <is>
          <t>Övriga Aktiebolag</t>
        </is>
      </c>
      <c r="G639" t="n">
        <v>16.8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29391-2025</t>
        </is>
      </c>
      <c r="B640" s="1" t="n">
        <v>45824</v>
      </c>
      <c r="C640" s="1" t="n">
        <v>45851</v>
      </c>
      <c r="D640" t="inlineStr">
        <is>
          <t>JÖNKÖPINGS LÄN</t>
        </is>
      </c>
      <c r="E640" t="inlineStr">
        <is>
          <t>ANEBY</t>
        </is>
      </c>
      <c r="F640" t="inlineStr">
        <is>
          <t>Övriga Aktiebolag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30435-2025</t>
        </is>
      </c>
      <c r="B641" s="1" t="n">
        <v>45827</v>
      </c>
      <c r="C641" s="1" t="n">
        <v>45851</v>
      </c>
      <c r="D641" t="inlineStr">
        <is>
          <t>JÖNKÖPINGS LÄN</t>
        </is>
      </c>
      <c r="E641" t="inlineStr">
        <is>
          <t>ANEBY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31087-2025</t>
        </is>
      </c>
      <c r="B642" s="1" t="n">
        <v>45831</v>
      </c>
      <c r="C642" s="1" t="n">
        <v>45851</v>
      </c>
      <c r="D642" t="inlineStr">
        <is>
          <t>JÖNKÖPINGS LÄN</t>
        </is>
      </c>
      <c r="E642" t="inlineStr">
        <is>
          <t>ANEBY</t>
        </is>
      </c>
      <c r="F642" t="inlineStr">
        <is>
          <t>Övriga Aktiebolag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32572-2025</t>
        </is>
      </c>
      <c r="B643" s="1" t="n">
        <v>45838</v>
      </c>
      <c r="C643" s="1" t="n">
        <v>45851</v>
      </c>
      <c r="D643" t="inlineStr">
        <is>
          <t>JÖNKÖPINGS LÄN</t>
        </is>
      </c>
      <c r="E643" t="inlineStr">
        <is>
          <t>ANEBY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32554-2025</t>
        </is>
      </c>
      <c r="B644" s="1" t="n">
        <v>45838</v>
      </c>
      <c r="C644" s="1" t="n">
        <v>45851</v>
      </c>
      <c r="D644" t="inlineStr">
        <is>
          <t>JÖNKÖPINGS LÄN</t>
        </is>
      </c>
      <c r="E644" t="inlineStr">
        <is>
          <t>ANEBY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32548-2025</t>
        </is>
      </c>
      <c r="B645" s="1" t="n">
        <v>45838</v>
      </c>
      <c r="C645" s="1" t="n">
        <v>45851</v>
      </c>
      <c r="D645" t="inlineStr">
        <is>
          <t>JÖNKÖPINGS LÄN</t>
        </is>
      </c>
      <c r="E645" t="inlineStr">
        <is>
          <t>ANEBY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33072-2025</t>
        </is>
      </c>
      <c r="B646" s="1" t="n">
        <v>45840</v>
      </c>
      <c r="C646" s="1" t="n">
        <v>45851</v>
      </c>
      <c r="D646" t="inlineStr">
        <is>
          <t>JÖNKÖPINGS LÄN</t>
        </is>
      </c>
      <c r="E646" t="inlineStr">
        <is>
          <t>ANEBY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33125-2025</t>
        </is>
      </c>
      <c r="B647" s="1" t="n">
        <v>45840</v>
      </c>
      <c r="C647" s="1" t="n">
        <v>45851</v>
      </c>
      <c r="D647" t="inlineStr">
        <is>
          <t>JÖNKÖPINGS LÄN</t>
        </is>
      </c>
      <c r="E647" t="inlineStr">
        <is>
          <t>ANEBY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>
      <c r="A648" t="inlineStr">
        <is>
          <t>A 34665-2025</t>
        </is>
      </c>
      <c r="B648" s="1" t="n">
        <v>45848</v>
      </c>
      <c r="C648" s="1" t="n">
        <v>45851</v>
      </c>
      <c r="D648" t="inlineStr">
        <is>
          <t>JÖNKÖPINGS LÄN</t>
        </is>
      </c>
      <c r="E648" t="inlineStr">
        <is>
          <t>ANEBY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2025-07-13T19:43:29Z</dcterms:created>
  <dcterms:modified xmlns:dcterms="http://purl.org/dc/terms/" xmlns:xsi="http://www.w3.org/2001/XMLSchema-instance" xsi:type="dcterms:W3CDTF">2025-07-13T19:43:30Z</dcterms:modified>
</cp:coreProperties>
</file>