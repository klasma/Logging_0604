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45706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45706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45706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45706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45706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45706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45706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45706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45706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45706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45706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45706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45706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45706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45706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45706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45706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45706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45706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24863-2024</t>
        </is>
      </c>
      <c r="B21" s="1" t="n">
        <v>45461</v>
      </c>
      <c r="C21" s="1" t="n">
        <v>45706</v>
      </c>
      <c r="D21" t="inlineStr">
        <is>
          <t>JÖNKÖPINGS LÄN</t>
        </is>
      </c>
      <c r="E21" t="inlineStr">
        <is>
          <t>ANEBY</t>
        </is>
      </c>
      <c r="G21" t="n">
        <v>4.8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HYPERLINK("https://klasma.github.io/Logging_0604/artfynd/A 24863-2024 artfynd.xlsx", "A 24863-2024")</f>
        <v/>
      </c>
      <c r="T21">
        <f>HYPERLINK("https://klasma.github.io/Logging_0604/kartor/A 24863-2024 karta.png", "A 24863-2024")</f>
        <v/>
      </c>
      <c r="V21">
        <f>HYPERLINK("https://klasma.github.io/Logging_0604/klagomål/A 24863-2024 FSC-klagomål.docx", "A 24863-2024")</f>
        <v/>
      </c>
      <c r="W21">
        <f>HYPERLINK("https://klasma.github.io/Logging_0604/klagomålsmail/A 24863-2024 FSC-klagomål mail.docx", "A 24863-2024")</f>
        <v/>
      </c>
      <c r="X21">
        <f>HYPERLINK("https://klasma.github.io/Logging_0604/tillsyn/A 24863-2024 tillsynsbegäran.docx", "A 24863-2024")</f>
        <v/>
      </c>
      <c r="Y21">
        <f>HYPERLINK("https://klasma.github.io/Logging_0604/tillsynsmail/A 24863-2024 tillsynsbegäran mail.docx", "A 24863-2024")</f>
        <v/>
      </c>
      <c r="Z21">
        <f>HYPERLINK("https://klasma.github.io/Logging_0604/fåglar/A 24863-2024 prioriterade fågelarter.docx", "A 24863-2024")</f>
        <v/>
      </c>
    </row>
    <row r="22" ht="15" customHeight="1">
      <c r="A22" t="inlineStr">
        <is>
          <t>A 25959-2024</t>
        </is>
      </c>
      <c r="B22" s="1" t="n">
        <v>45467</v>
      </c>
      <c r="C22" s="1" t="n">
        <v>45706</v>
      </c>
      <c r="D22" t="inlineStr">
        <is>
          <t>JÖNKÖPINGS LÄN</t>
        </is>
      </c>
      <c r="E22" t="inlineStr">
        <is>
          <t>ANEBY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HYPERLINK("https://klasma.github.io/Logging_0604/artfynd/A 25959-2024 artfynd.xlsx", "A 25959-2024")</f>
        <v/>
      </c>
      <c r="T22">
        <f>HYPERLINK("https://klasma.github.io/Logging_0604/kartor/A 25959-2024 karta.png", "A 25959-2024")</f>
        <v/>
      </c>
      <c r="V22">
        <f>HYPERLINK("https://klasma.github.io/Logging_0604/klagomål/A 25959-2024 FSC-klagomål.docx", "A 25959-2024")</f>
        <v/>
      </c>
      <c r="W22">
        <f>HYPERLINK("https://klasma.github.io/Logging_0604/klagomålsmail/A 25959-2024 FSC-klagomål mail.docx", "A 25959-2024")</f>
        <v/>
      </c>
      <c r="X22">
        <f>HYPERLINK("https://klasma.github.io/Logging_0604/tillsyn/A 25959-2024 tillsynsbegäran.docx", "A 25959-2024")</f>
        <v/>
      </c>
      <c r="Y22">
        <f>HYPERLINK("https://klasma.github.io/Logging_0604/tillsynsmail/A 25959-2024 tillsynsbegäran mail.docx", "A 25959-2024")</f>
        <v/>
      </c>
    </row>
    <row r="23" ht="15" customHeight="1">
      <c r="A23" t="inlineStr">
        <is>
          <t>A 38725-2024</t>
        </is>
      </c>
      <c r="B23" s="1" t="n">
        <v>45547</v>
      </c>
      <c r="C23" s="1" t="n">
        <v>45706</v>
      </c>
      <c r="D23" t="inlineStr">
        <is>
          <t>JÖNKÖPINGS LÄN</t>
        </is>
      </c>
      <c r="E23" t="inlineStr">
        <is>
          <t>ANEBY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HYPERLINK("https://klasma.github.io/Logging_0604/artfynd/A 38725-2024 artfynd.xlsx", "A 38725-2024")</f>
        <v/>
      </c>
      <c r="T23">
        <f>HYPERLINK("https://klasma.github.io/Logging_0604/kartor/A 38725-2024 karta.png", "A 38725-2024")</f>
        <v/>
      </c>
      <c r="U23">
        <f>HYPERLINK("https://klasma.github.io/Logging_0604/knärot/A 38725-2024 karta knärot.png", "A 38725-2024")</f>
        <v/>
      </c>
      <c r="V23">
        <f>HYPERLINK("https://klasma.github.io/Logging_0604/klagomål/A 38725-2024 FSC-klagomål.docx", "A 38725-2024")</f>
        <v/>
      </c>
      <c r="W23">
        <f>HYPERLINK("https://klasma.github.io/Logging_0604/klagomålsmail/A 38725-2024 FSC-klagomål mail.docx", "A 38725-2024")</f>
        <v/>
      </c>
      <c r="X23">
        <f>HYPERLINK("https://klasma.github.io/Logging_0604/tillsyn/A 38725-2024 tillsynsbegäran.docx", "A 38725-2024")</f>
        <v/>
      </c>
      <c r="Y23">
        <f>HYPERLINK("https://klasma.github.io/Logging_0604/tillsynsmail/A 38725-2024 tillsynsbegäran mail.docx", "A 38725-2024")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45706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45706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45706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45706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45706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45706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45706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45706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45706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45706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45706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45706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45706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45706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45706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45706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45706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45706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45706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45706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45706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45706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45706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45706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45706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45706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45706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45706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45706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45706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45706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45706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45706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45706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45706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45706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45706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45706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45706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45706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45706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45706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45706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45706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45706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45706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45706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45706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45706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45706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45706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45706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45706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45706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45706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45706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45706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45706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45706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45706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45706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45706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45706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45706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45706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45706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45706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45706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45706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45706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45706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45706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45706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45706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45706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45706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45706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45706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45706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45706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45706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45706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45706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45706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45706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45706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45706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45706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45706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45706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45706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45706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45706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45706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45706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45706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45706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45706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45706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45706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45706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45706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45706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45706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45706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45706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45706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45706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45706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45706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45706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45706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45706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45706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45706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45706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45706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45706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45706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45706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45706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45706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45706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45706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45706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45706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45706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45706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45706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45706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45706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45706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45706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45706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45706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45706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45706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45706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45706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45706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45706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45706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45706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45706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45706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45706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45706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45706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45706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45706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45706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45706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45706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45706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45706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45706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45706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45706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45706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45706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45706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45706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45706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45706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45706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45706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45706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45706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45706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45706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45706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45706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45706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45706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45706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45706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45706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45706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45706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45706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45706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45706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45706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45706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45706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45706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45706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45706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45706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45706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45706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45706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45706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45706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45706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45706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45706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45706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45706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45706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45706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45706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45706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45706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45706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45706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45706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45706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45706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45706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45706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45706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45706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45706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45706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45706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45706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45706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45706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45706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45706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45706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45706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45706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45706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45706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45706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45706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45706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45706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45706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45706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45706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45706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45706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45706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45706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45706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45706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45706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45706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45706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45706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45706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45706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45706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45706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45706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45706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45706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45706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45706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45706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45706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45706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45706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45706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45706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45706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45706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45706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45706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45706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45706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45706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45706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45706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45706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45706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45706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45706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45706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45706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45706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45706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45706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45706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45706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45706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45706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45706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45706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45706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45706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45706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45706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45706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45706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45706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45706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45706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45706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45706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45706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45706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45706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45706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45706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45706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45706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45706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45706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45706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45706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45706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45706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45706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45706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45706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45706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45706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45706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45706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45706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45706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45706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45706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45706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45706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45706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45706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45706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45706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45706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45706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45706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45706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45706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45706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45706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45706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45706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45706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45706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45706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45706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45706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45706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45706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45706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45706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45706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45706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45706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45706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45706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45706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45706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45706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45706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45706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45706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45706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45706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45706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45706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45706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45706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45706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45706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45706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45706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45706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45706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45706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45706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45706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45706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45706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45706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45706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45706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45706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45706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45706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45706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45706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45706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45706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45706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45706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45706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45706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45706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45706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45706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45706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45706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45706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45706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45706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45706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45706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45706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45706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45706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45706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45706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45706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45706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45706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45706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45706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45706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45706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45706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45706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45706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45706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45706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45706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45706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45706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45706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45706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45706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45706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45706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45706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45706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45706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45706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45706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45706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45706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45706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45706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45706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45706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45706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45706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45706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45706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45706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45706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45706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45706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45706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45706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13163-2024</t>
        </is>
      </c>
      <c r="B463" s="1" t="n">
        <v>45386</v>
      </c>
      <c r="C463" s="1" t="n">
        <v>45706</v>
      </c>
      <c r="D463" t="inlineStr">
        <is>
          <t>JÖNKÖPINGS LÄN</t>
        </is>
      </c>
      <c r="E463" t="inlineStr">
        <is>
          <t>ANEBY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13886-2024</t>
        </is>
      </c>
      <c r="B464" s="1" t="n">
        <v>45391</v>
      </c>
      <c r="C464" s="1" t="n">
        <v>45706</v>
      </c>
      <c r="D464" t="inlineStr">
        <is>
          <t>JÖNKÖPINGS LÄN</t>
        </is>
      </c>
      <c r="E464" t="inlineStr">
        <is>
          <t>ANEBY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14317-2024</t>
        </is>
      </c>
      <c r="B465" s="1" t="n">
        <v>45393</v>
      </c>
      <c r="C465" s="1" t="n">
        <v>45706</v>
      </c>
      <c r="D465" t="inlineStr">
        <is>
          <t>JÖNKÖPINGS LÄN</t>
        </is>
      </c>
      <c r="E465" t="inlineStr">
        <is>
          <t>ANEBY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14338-2024</t>
        </is>
      </c>
      <c r="B466" s="1" t="n">
        <v>45393</v>
      </c>
      <c r="C466" s="1" t="n">
        <v>45706</v>
      </c>
      <c r="D466" t="inlineStr">
        <is>
          <t>JÖNKÖPINGS LÄN</t>
        </is>
      </c>
      <c r="E466" t="inlineStr">
        <is>
          <t>ANEBY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14329-2024</t>
        </is>
      </c>
      <c r="B467" s="1" t="n">
        <v>45393</v>
      </c>
      <c r="C467" s="1" t="n">
        <v>45706</v>
      </c>
      <c r="D467" t="inlineStr">
        <is>
          <t>JÖNKÖPINGS LÄN</t>
        </is>
      </c>
      <c r="E467" t="inlineStr">
        <is>
          <t>ANEBY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14323-2024</t>
        </is>
      </c>
      <c r="B468" s="1" t="n">
        <v>45393</v>
      </c>
      <c r="C468" s="1" t="n">
        <v>45706</v>
      </c>
      <c r="D468" t="inlineStr">
        <is>
          <t>JÖNKÖPINGS LÄN</t>
        </is>
      </c>
      <c r="E468" t="inlineStr">
        <is>
          <t>ANEBY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14703-2024</t>
        </is>
      </c>
      <c r="B469" s="1" t="n">
        <v>45397</v>
      </c>
      <c r="C469" s="1" t="n">
        <v>45706</v>
      </c>
      <c r="D469" t="inlineStr">
        <is>
          <t>JÖNKÖPINGS LÄN</t>
        </is>
      </c>
      <c r="E469" t="inlineStr">
        <is>
          <t>ANEBY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14901-2024</t>
        </is>
      </c>
      <c r="B470" s="1" t="n">
        <v>45398</v>
      </c>
      <c r="C470" s="1" t="n">
        <v>45706</v>
      </c>
      <c r="D470" t="inlineStr">
        <is>
          <t>JÖNKÖPINGS LÄN</t>
        </is>
      </c>
      <c r="E470" t="inlineStr">
        <is>
          <t>ANEBY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15835-2024</t>
        </is>
      </c>
      <c r="B471" s="1" t="n">
        <v>45404</v>
      </c>
      <c r="C471" s="1" t="n">
        <v>45706</v>
      </c>
      <c r="D471" t="inlineStr">
        <is>
          <t>JÖNKÖPINGS LÄN</t>
        </is>
      </c>
      <c r="E471" t="inlineStr">
        <is>
          <t>ANEBY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16679-2024</t>
        </is>
      </c>
      <c r="B472" s="1" t="n">
        <v>45408</v>
      </c>
      <c r="C472" s="1" t="n">
        <v>45706</v>
      </c>
      <c r="D472" t="inlineStr">
        <is>
          <t>JÖNKÖPINGS LÄN</t>
        </is>
      </c>
      <c r="E472" t="inlineStr">
        <is>
          <t>ANEBY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16722-2024</t>
        </is>
      </c>
      <c r="B473" s="1" t="n">
        <v>45409</v>
      </c>
      <c r="C473" s="1" t="n">
        <v>45706</v>
      </c>
      <c r="D473" t="inlineStr">
        <is>
          <t>JÖNKÖPINGS LÄN</t>
        </is>
      </c>
      <c r="E473" t="inlineStr">
        <is>
          <t>ANEBY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17082-2024</t>
        </is>
      </c>
      <c r="B474" s="1" t="n">
        <v>45412</v>
      </c>
      <c r="C474" s="1" t="n">
        <v>45706</v>
      </c>
      <c r="D474" t="inlineStr">
        <is>
          <t>JÖNKÖPINGS LÄN</t>
        </is>
      </c>
      <c r="E474" t="inlineStr">
        <is>
          <t>ANEBY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17954-2024</t>
        </is>
      </c>
      <c r="B475" s="1" t="n">
        <v>45419</v>
      </c>
      <c r="C475" s="1" t="n">
        <v>45706</v>
      </c>
      <c r="D475" t="inlineStr">
        <is>
          <t>JÖNKÖPINGS LÄN</t>
        </is>
      </c>
      <c r="E475" t="inlineStr">
        <is>
          <t>ANEBY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17973-2024</t>
        </is>
      </c>
      <c r="B476" s="1" t="n">
        <v>45419</v>
      </c>
      <c r="C476" s="1" t="n">
        <v>45706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20922-2024</t>
        </is>
      </c>
      <c r="B477" s="1" t="n">
        <v>45439</v>
      </c>
      <c r="C477" s="1" t="n">
        <v>45706</v>
      </c>
      <c r="D477" t="inlineStr">
        <is>
          <t>JÖNKÖPINGS LÄN</t>
        </is>
      </c>
      <c r="E477" t="inlineStr">
        <is>
          <t>ANEBY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20923-2024</t>
        </is>
      </c>
      <c r="B478" s="1" t="n">
        <v>45439</v>
      </c>
      <c r="C478" s="1" t="n">
        <v>45706</v>
      </c>
      <c r="D478" t="inlineStr">
        <is>
          <t>JÖNKÖPINGS LÄN</t>
        </is>
      </c>
      <c r="E478" t="inlineStr">
        <is>
          <t>ANEBY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21026-2024</t>
        </is>
      </c>
      <c r="B479" s="1" t="n">
        <v>45439</v>
      </c>
      <c r="C479" s="1" t="n">
        <v>45706</v>
      </c>
      <c r="D479" t="inlineStr">
        <is>
          <t>JÖNKÖPINGS LÄN</t>
        </is>
      </c>
      <c r="E479" t="inlineStr">
        <is>
          <t>ANEBY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22762-2024</t>
        </is>
      </c>
      <c r="B480" s="1" t="n">
        <v>45448</v>
      </c>
      <c r="C480" s="1" t="n">
        <v>45706</v>
      </c>
      <c r="D480" t="inlineStr">
        <is>
          <t>JÖNKÖPINGS LÄN</t>
        </is>
      </c>
      <c r="E480" t="inlineStr">
        <is>
          <t>ANEBY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22764-2024</t>
        </is>
      </c>
      <c r="B481" s="1" t="n">
        <v>45448</v>
      </c>
      <c r="C481" s="1" t="n">
        <v>45706</v>
      </c>
      <c r="D481" t="inlineStr">
        <is>
          <t>JÖNKÖPINGS LÄN</t>
        </is>
      </c>
      <c r="E481" t="inlineStr">
        <is>
          <t>ANEBY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22802-2024</t>
        </is>
      </c>
      <c r="B482" s="1" t="n">
        <v>45448</v>
      </c>
      <c r="C482" s="1" t="n">
        <v>45706</v>
      </c>
      <c r="D482" t="inlineStr">
        <is>
          <t>JÖNKÖPINGS LÄN</t>
        </is>
      </c>
      <c r="E482" t="inlineStr">
        <is>
          <t>ANEBY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23607-2024</t>
        </is>
      </c>
      <c r="B483" s="1" t="n">
        <v>45454</v>
      </c>
      <c r="C483" s="1" t="n">
        <v>45706</v>
      </c>
      <c r="D483" t="inlineStr">
        <is>
          <t>JÖNKÖPINGS LÄN</t>
        </is>
      </c>
      <c r="E483" t="inlineStr">
        <is>
          <t>ANEBY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23612-2024</t>
        </is>
      </c>
      <c r="B484" s="1" t="n">
        <v>45454</v>
      </c>
      <c r="C484" s="1" t="n">
        <v>45706</v>
      </c>
      <c r="D484" t="inlineStr">
        <is>
          <t>JÖNKÖPINGS LÄN</t>
        </is>
      </c>
      <c r="E484" t="inlineStr">
        <is>
          <t>ANEBY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24784-2024</t>
        </is>
      </c>
      <c r="B485" s="1" t="n">
        <v>45460</v>
      </c>
      <c r="C485" s="1" t="n">
        <v>45706</v>
      </c>
      <c r="D485" t="inlineStr">
        <is>
          <t>JÖNKÖPINGS LÄN</t>
        </is>
      </c>
      <c r="E485" t="inlineStr">
        <is>
          <t>ANEBY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24683-2024</t>
        </is>
      </c>
      <c r="B486" s="1" t="n">
        <v>45460</v>
      </c>
      <c r="C486" s="1" t="n">
        <v>45706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24668-2024</t>
        </is>
      </c>
      <c r="B487" s="1" t="n">
        <v>45460</v>
      </c>
      <c r="C487" s="1" t="n">
        <v>45706</v>
      </c>
      <c r="D487" t="inlineStr">
        <is>
          <t>JÖNKÖPINGS LÄN</t>
        </is>
      </c>
      <c r="E487" t="inlineStr">
        <is>
          <t>ANEBY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24783-2024</t>
        </is>
      </c>
      <c r="B488" s="1" t="n">
        <v>45460</v>
      </c>
      <c r="C488" s="1" t="n">
        <v>45706</v>
      </c>
      <c r="D488" t="inlineStr">
        <is>
          <t>JÖNKÖPINGS LÄN</t>
        </is>
      </c>
      <c r="E488" t="inlineStr">
        <is>
          <t>ANEBY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24654-2024</t>
        </is>
      </c>
      <c r="B489" s="1" t="n">
        <v>45460</v>
      </c>
      <c r="C489" s="1" t="n">
        <v>45706</v>
      </c>
      <c r="D489" t="inlineStr">
        <is>
          <t>JÖNKÖPINGS LÄN</t>
        </is>
      </c>
      <c r="E489" t="inlineStr">
        <is>
          <t>ANEBY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24849-2024</t>
        </is>
      </c>
      <c r="B490" s="1" t="n">
        <v>45461</v>
      </c>
      <c r="C490" s="1" t="n">
        <v>45706</v>
      </c>
      <c r="D490" t="inlineStr">
        <is>
          <t>JÖNKÖPINGS LÄN</t>
        </is>
      </c>
      <c r="E490" t="inlineStr">
        <is>
          <t>ANEBY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24850-2024</t>
        </is>
      </c>
      <c r="B491" s="1" t="n">
        <v>45461</v>
      </c>
      <c r="C491" s="1" t="n">
        <v>45706</v>
      </c>
      <c r="D491" t="inlineStr">
        <is>
          <t>JÖNKÖPINGS LÄN</t>
        </is>
      </c>
      <c r="E491" t="inlineStr">
        <is>
          <t>ANEBY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24901-2024</t>
        </is>
      </c>
      <c r="B492" s="1" t="n">
        <v>45461</v>
      </c>
      <c r="C492" s="1" t="n">
        <v>45706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25438-2024</t>
        </is>
      </c>
      <c r="B493" s="1" t="n">
        <v>45463</v>
      </c>
      <c r="C493" s="1" t="n">
        <v>45706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25865-2024</t>
        </is>
      </c>
      <c r="B494" s="1" t="n">
        <v>45467</v>
      </c>
      <c r="C494" s="1" t="n">
        <v>45706</v>
      </c>
      <c r="D494" t="inlineStr">
        <is>
          <t>JÖNKÖPINGS LÄN</t>
        </is>
      </c>
      <c r="E494" t="inlineStr">
        <is>
          <t>ANEBY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25875-2024</t>
        </is>
      </c>
      <c r="B495" s="1" t="n">
        <v>45467</v>
      </c>
      <c r="C495" s="1" t="n">
        <v>45706</v>
      </c>
      <c r="D495" t="inlineStr">
        <is>
          <t>JÖNKÖPINGS LÄN</t>
        </is>
      </c>
      <c r="E495" t="inlineStr">
        <is>
          <t>ANEBY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25963-2024</t>
        </is>
      </c>
      <c r="B496" s="1" t="n">
        <v>45467</v>
      </c>
      <c r="C496" s="1" t="n">
        <v>45706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HYPERLINK("https://klasma.github.io/Logging_0604/knärot/A 25963-2024 karta knärot.png", "A 25963-2024")</f>
        <v/>
      </c>
      <c r="V496">
        <f>HYPERLINK("https://klasma.github.io/Logging_0604/klagomål/A 25963-2024 FSC-klagomål.docx", "A 25963-2024")</f>
        <v/>
      </c>
      <c r="W496">
        <f>HYPERLINK("https://klasma.github.io/Logging_0604/klagomålsmail/A 25963-2024 FSC-klagomål mail.docx", "A 25963-2024")</f>
        <v/>
      </c>
      <c r="X496">
        <f>HYPERLINK("https://klasma.github.io/Logging_0604/tillsyn/A 25963-2024 tillsynsbegäran.docx", "A 25963-2024")</f>
        <v/>
      </c>
      <c r="Y496">
        <f>HYPERLINK("https://klasma.github.io/Logging_0604/tillsynsmail/A 25963-2024 tillsynsbegäran mail.docx", "A 25963-2024")</f>
        <v/>
      </c>
    </row>
    <row r="497" ht="15" customHeight="1">
      <c r="A497" t="inlineStr">
        <is>
          <t>A 26241-2024</t>
        </is>
      </c>
      <c r="B497" s="1" t="n">
        <v>45468</v>
      </c>
      <c r="C497" s="1" t="n">
        <v>45706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26236-2024</t>
        </is>
      </c>
      <c r="B498" s="1" t="n">
        <v>45468</v>
      </c>
      <c r="C498" s="1" t="n">
        <v>45706</v>
      </c>
      <c r="D498" t="inlineStr">
        <is>
          <t>JÖNKÖPINGS LÄN</t>
        </is>
      </c>
      <c r="E498" t="inlineStr">
        <is>
          <t>ANEBY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26507-2024</t>
        </is>
      </c>
      <c r="B499" s="1" t="n">
        <v>45469</v>
      </c>
      <c r="C499" s="1" t="n">
        <v>45706</v>
      </c>
      <c r="D499" t="inlineStr">
        <is>
          <t>JÖNKÖPINGS LÄN</t>
        </is>
      </c>
      <c r="E499" t="inlineStr">
        <is>
          <t>ANEBY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27722-2024</t>
        </is>
      </c>
      <c r="B500" s="1" t="n">
        <v>45475</v>
      </c>
      <c r="C500" s="1" t="n">
        <v>45706</v>
      </c>
      <c r="D500" t="inlineStr">
        <is>
          <t>JÖNKÖPINGS LÄN</t>
        </is>
      </c>
      <c r="E500" t="inlineStr">
        <is>
          <t>ANEBY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27714-2024</t>
        </is>
      </c>
      <c r="B501" s="1" t="n">
        <v>45475</v>
      </c>
      <c r="C501" s="1" t="n">
        <v>45706</v>
      </c>
      <c r="D501" t="inlineStr">
        <is>
          <t>JÖNKÖPINGS LÄN</t>
        </is>
      </c>
      <c r="E501" t="inlineStr">
        <is>
          <t>ANEBY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31993-2024</t>
        </is>
      </c>
      <c r="B502" s="1" t="n">
        <v>45510</v>
      </c>
      <c r="C502" s="1" t="n">
        <v>45706</v>
      </c>
      <c r="D502" t="inlineStr">
        <is>
          <t>JÖNKÖPINGS LÄN</t>
        </is>
      </c>
      <c r="E502" t="inlineStr">
        <is>
          <t>ANEBY</t>
        </is>
      </c>
      <c r="F502" t="inlineStr">
        <is>
          <t>Övriga Aktiebolag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35554-2024</t>
        </is>
      </c>
      <c r="B503" s="1" t="n">
        <v>45531</v>
      </c>
      <c r="C503" s="1" t="n">
        <v>45706</v>
      </c>
      <c r="D503" t="inlineStr">
        <is>
          <t>JÖNKÖPINGS LÄN</t>
        </is>
      </c>
      <c r="E503" t="inlineStr">
        <is>
          <t>ANEBY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35549-2024</t>
        </is>
      </c>
      <c r="B504" s="1" t="n">
        <v>45531</v>
      </c>
      <c r="C504" s="1" t="n">
        <v>45706</v>
      </c>
      <c r="D504" t="inlineStr">
        <is>
          <t>JÖNKÖPINGS LÄN</t>
        </is>
      </c>
      <c r="E504" t="inlineStr">
        <is>
          <t>ANEBY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35555-2024</t>
        </is>
      </c>
      <c r="B505" s="1" t="n">
        <v>45531</v>
      </c>
      <c r="C505" s="1" t="n">
        <v>45706</v>
      </c>
      <c r="D505" t="inlineStr">
        <is>
          <t>JÖNKÖPINGS LÄN</t>
        </is>
      </c>
      <c r="E505" t="inlineStr">
        <is>
          <t>ANEBY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35597-2024</t>
        </is>
      </c>
      <c r="B506" s="1" t="n">
        <v>45531</v>
      </c>
      <c r="C506" s="1" t="n">
        <v>45706</v>
      </c>
      <c r="D506" t="inlineStr">
        <is>
          <t>JÖNKÖPINGS LÄN</t>
        </is>
      </c>
      <c r="E506" t="inlineStr">
        <is>
          <t>ANEBY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36700-2024</t>
        </is>
      </c>
      <c r="B507" s="1" t="n">
        <v>45537</v>
      </c>
      <c r="C507" s="1" t="n">
        <v>45706</v>
      </c>
      <c r="D507" t="inlineStr">
        <is>
          <t>JÖNKÖPINGS LÄN</t>
        </is>
      </c>
      <c r="E507" t="inlineStr">
        <is>
          <t>ANEBY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36677-2024</t>
        </is>
      </c>
      <c r="B508" s="1" t="n">
        <v>45537</v>
      </c>
      <c r="C508" s="1" t="n">
        <v>45706</v>
      </c>
      <c r="D508" t="inlineStr">
        <is>
          <t>JÖNKÖPINGS LÄN</t>
        </is>
      </c>
      <c r="E508" t="inlineStr">
        <is>
          <t>ANEBY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36690-2024</t>
        </is>
      </c>
      <c r="B509" s="1" t="n">
        <v>45537</v>
      </c>
      <c r="C509" s="1" t="n">
        <v>45706</v>
      </c>
      <c r="D509" t="inlineStr">
        <is>
          <t>JÖNKÖPINGS LÄN</t>
        </is>
      </c>
      <c r="E509" t="inlineStr">
        <is>
          <t>ANEBY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36683-2024</t>
        </is>
      </c>
      <c r="B510" s="1" t="n">
        <v>45537</v>
      </c>
      <c r="C510" s="1" t="n">
        <v>45706</v>
      </c>
      <c r="D510" t="inlineStr">
        <is>
          <t>JÖNKÖPINGS LÄN</t>
        </is>
      </c>
      <c r="E510" t="inlineStr">
        <is>
          <t>ANEBY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36789-2024</t>
        </is>
      </c>
      <c r="B511" s="1" t="n">
        <v>45538</v>
      </c>
      <c r="C511" s="1" t="n">
        <v>45706</v>
      </c>
      <c r="D511" t="inlineStr">
        <is>
          <t>JÖNKÖPINGS LÄN</t>
        </is>
      </c>
      <c r="E511" t="inlineStr">
        <is>
          <t>ANEBY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36756-2024</t>
        </is>
      </c>
      <c r="B512" s="1" t="n">
        <v>45538</v>
      </c>
      <c r="C512" s="1" t="n">
        <v>45706</v>
      </c>
      <c r="D512" t="inlineStr">
        <is>
          <t>JÖNKÖPINGS LÄN</t>
        </is>
      </c>
      <c r="E512" t="inlineStr">
        <is>
          <t>ANEBY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37135-2024</t>
        </is>
      </c>
      <c r="B513" s="1" t="n">
        <v>45539</v>
      </c>
      <c r="C513" s="1" t="n">
        <v>45706</v>
      </c>
      <c r="D513" t="inlineStr">
        <is>
          <t>JÖNKÖPINGS LÄN</t>
        </is>
      </c>
      <c r="E513" t="inlineStr">
        <is>
          <t>ANEBY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37155-2024</t>
        </is>
      </c>
      <c r="B514" s="1" t="n">
        <v>45539</v>
      </c>
      <c r="C514" s="1" t="n">
        <v>45706</v>
      </c>
      <c r="D514" t="inlineStr">
        <is>
          <t>JÖNKÖPINGS LÄN</t>
        </is>
      </c>
      <c r="E514" t="inlineStr">
        <is>
          <t>ANEBY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37223-2024</t>
        </is>
      </c>
      <c r="B515" s="1" t="n">
        <v>45539</v>
      </c>
      <c r="C515" s="1" t="n">
        <v>45706</v>
      </c>
      <c r="D515" t="inlineStr">
        <is>
          <t>JÖNKÖPINGS LÄN</t>
        </is>
      </c>
      <c r="E515" t="inlineStr">
        <is>
          <t>ANEBY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37214-2024</t>
        </is>
      </c>
      <c r="B516" s="1" t="n">
        <v>45539</v>
      </c>
      <c r="C516" s="1" t="n">
        <v>45706</v>
      </c>
      <c r="D516" t="inlineStr">
        <is>
          <t>JÖNKÖPINGS LÄN</t>
        </is>
      </c>
      <c r="E516" t="inlineStr">
        <is>
          <t>ANEBY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37751-2024</t>
        </is>
      </c>
      <c r="B517" s="1" t="n">
        <v>45541</v>
      </c>
      <c r="C517" s="1" t="n">
        <v>45706</v>
      </c>
      <c r="D517" t="inlineStr">
        <is>
          <t>JÖNKÖPINGS LÄN</t>
        </is>
      </c>
      <c r="E517" t="inlineStr">
        <is>
          <t>ANEBY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37989-2024</t>
        </is>
      </c>
      <c r="B518" s="1" t="n">
        <v>45544</v>
      </c>
      <c r="C518" s="1" t="n">
        <v>45706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37979-2024</t>
        </is>
      </c>
      <c r="B519" s="1" t="n">
        <v>45544</v>
      </c>
      <c r="C519" s="1" t="n">
        <v>45706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38031-2024</t>
        </is>
      </c>
      <c r="B520" s="1" t="n">
        <v>45544</v>
      </c>
      <c r="C520" s="1" t="n">
        <v>45706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38175-2024</t>
        </is>
      </c>
      <c r="B521" s="1" t="n">
        <v>45545</v>
      </c>
      <c r="C521" s="1" t="n">
        <v>45706</v>
      </c>
      <c r="D521" t="inlineStr">
        <is>
          <t>JÖNKÖPINGS LÄN</t>
        </is>
      </c>
      <c r="E521" t="inlineStr">
        <is>
          <t>ANEBY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38562-2024</t>
        </is>
      </c>
      <c r="B522" s="1" t="n">
        <v>45546</v>
      </c>
      <c r="C522" s="1" t="n">
        <v>45706</v>
      </c>
      <c r="D522" t="inlineStr">
        <is>
          <t>JÖNKÖPINGS LÄN</t>
        </is>
      </c>
      <c r="E522" t="inlineStr">
        <is>
          <t>ANEBY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38593-2024</t>
        </is>
      </c>
      <c r="B523" s="1" t="n">
        <v>45546</v>
      </c>
      <c r="C523" s="1" t="n">
        <v>45706</v>
      </c>
      <c r="D523" t="inlineStr">
        <is>
          <t>JÖNKÖPINGS LÄN</t>
        </is>
      </c>
      <c r="E523" t="inlineStr">
        <is>
          <t>ANEBY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38598-2024</t>
        </is>
      </c>
      <c r="B524" s="1" t="n">
        <v>45546</v>
      </c>
      <c r="C524" s="1" t="n">
        <v>45706</v>
      </c>
      <c r="D524" t="inlineStr">
        <is>
          <t>JÖNKÖPINGS LÄN</t>
        </is>
      </c>
      <c r="E524" t="inlineStr">
        <is>
          <t>ANEBY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38724-2024</t>
        </is>
      </c>
      <c r="B525" s="1" t="n">
        <v>45547</v>
      </c>
      <c r="C525" s="1" t="n">
        <v>45706</v>
      </c>
      <c r="D525" t="inlineStr">
        <is>
          <t>JÖNKÖPINGS LÄN</t>
        </is>
      </c>
      <c r="E525" t="inlineStr">
        <is>
          <t>ANEBY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38728-2024</t>
        </is>
      </c>
      <c r="B526" s="1" t="n">
        <v>45547</v>
      </c>
      <c r="C526" s="1" t="n">
        <v>45706</v>
      </c>
      <c r="D526" t="inlineStr">
        <is>
          <t>JÖNKÖPINGS LÄN</t>
        </is>
      </c>
      <c r="E526" t="inlineStr">
        <is>
          <t>ANEBY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38726-2024</t>
        </is>
      </c>
      <c r="B527" s="1" t="n">
        <v>45547</v>
      </c>
      <c r="C527" s="1" t="n">
        <v>45706</v>
      </c>
      <c r="D527" t="inlineStr">
        <is>
          <t>JÖNKÖPINGS LÄN</t>
        </is>
      </c>
      <c r="E527" t="inlineStr">
        <is>
          <t>ANEBY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38721-2024</t>
        </is>
      </c>
      <c r="B528" s="1" t="n">
        <v>45547</v>
      </c>
      <c r="C528" s="1" t="n">
        <v>45706</v>
      </c>
      <c r="D528" t="inlineStr">
        <is>
          <t>JÖNKÖPINGS LÄN</t>
        </is>
      </c>
      <c r="E528" t="inlineStr">
        <is>
          <t>ANEBY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45706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45706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45706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45706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45706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45706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45706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45706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45706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45706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45706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45706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45706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42672-2024</t>
        </is>
      </c>
      <c r="B542" s="1" t="n">
        <v>45566</v>
      </c>
      <c r="C542" s="1" t="n">
        <v>45706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45706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45706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45706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44665-2024</t>
        </is>
      </c>
      <c r="B546" s="1" t="n">
        <v>45574</v>
      </c>
      <c r="C546" s="1" t="n">
        <v>45706</v>
      </c>
      <c r="D546" t="inlineStr">
        <is>
          <t>JÖNKÖPINGS LÄN</t>
        </is>
      </c>
      <c r="E546" t="inlineStr">
        <is>
          <t>ANEBY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44671-2024</t>
        </is>
      </c>
      <c r="B547" s="1" t="n">
        <v>45574</v>
      </c>
      <c r="C547" s="1" t="n">
        <v>45706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46120-2024</t>
        </is>
      </c>
      <c r="B548" s="1" t="n">
        <v>45581</v>
      </c>
      <c r="C548" s="1" t="n">
        <v>45706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46893-2024</t>
        </is>
      </c>
      <c r="B549" s="1" t="n">
        <v>45583</v>
      </c>
      <c r="C549" s="1" t="n">
        <v>45706</v>
      </c>
      <c r="D549" t="inlineStr">
        <is>
          <t>JÖNKÖPINGS LÄN</t>
        </is>
      </c>
      <c r="E549" t="inlineStr">
        <is>
          <t>ANEBY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47330-2024</t>
        </is>
      </c>
      <c r="B550" s="1" t="n">
        <v>45586</v>
      </c>
      <c r="C550" s="1" t="n">
        <v>45706</v>
      </c>
      <c r="D550" t="inlineStr">
        <is>
          <t>JÖNKÖPINGS LÄN</t>
        </is>
      </c>
      <c r="E550" t="inlineStr">
        <is>
          <t>ANEBY</t>
        </is>
      </c>
      <c r="F550" t="inlineStr">
        <is>
          <t>Övriga Aktiebolag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47325-2024</t>
        </is>
      </c>
      <c r="B551" s="1" t="n">
        <v>45586</v>
      </c>
      <c r="C551" s="1" t="n">
        <v>45706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18.6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47406-2024</t>
        </is>
      </c>
      <c r="B552" s="1" t="n">
        <v>45587</v>
      </c>
      <c r="C552" s="1" t="n">
        <v>45706</v>
      </c>
      <c r="D552" t="inlineStr">
        <is>
          <t>JÖNKÖPINGS LÄN</t>
        </is>
      </c>
      <c r="E552" t="inlineStr">
        <is>
          <t>ANEBY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48236-2024</t>
        </is>
      </c>
      <c r="B553" s="1" t="n">
        <v>45590</v>
      </c>
      <c r="C553" s="1" t="n">
        <v>45706</v>
      </c>
      <c r="D553" t="inlineStr">
        <is>
          <t>JÖNKÖPINGS LÄN</t>
        </is>
      </c>
      <c r="E553" t="inlineStr">
        <is>
          <t>ANEBY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48524-2024</t>
        </is>
      </c>
      <c r="B554" s="1" t="n">
        <v>45593</v>
      </c>
      <c r="C554" s="1" t="n">
        <v>45706</v>
      </c>
      <c r="D554" t="inlineStr">
        <is>
          <t>JÖNKÖPINGS LÄN</t>
        </is>
      </c>
      <c r="E554" t="inlineStr">
        <is>
          <t>ANEBY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48995-2024</t>
        </is>
      </c>
      <c r="B555" s="1" t="n">
        <v>45594</v>
      </c>
      <c r="C555" s="1" t="n">
        <v>45706</v>
      </c>
      <c r="D555" t="inlineStr">
        <is>
          <t>JÖNKÖPINGS LÄN</t>
        </is>
      </c>
      <c r="E555" t="inlineStr">
        <is>
          <t>ANEBY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48999-2024</t>
        </is>
      </c>
      <c r="B556" s="1" t="n">
        <v>45594</v>
      </c>
      <c r="C556" s="1" t="n">
        <v>45706</v>
      </c>
      <c r="D556" t="inlineStr">
        <is>
          <t>JÖNKÖPINGS LÄN</t>
        </is>
      </c>
      <c r="E556" t="inlineStr">
        <is>
          <t>ANEBY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48988-2024</t>
        </is>
      </c>
      <c r="B557" s="1" t="n">
        <v>45594</v>
      </c>
      <c r="C557" s="1" t="n">
        <v>45706</v>
      </c>
      <c r="D557" t="inlineStr">
        <is>
          <t>JÖNKÖPINGS LÄN</t>
        </is>
      </c>
      <c r="E557" t="inlineStr">
        <is>
          <t>ANEBY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48993-2024</t>
        </is>
      </c>
      <c r="B558" s="1" t="n">
        <v>45594</v>
      </c>
      <c r="C558" s="1" t="n">
        <v>45706</v>
      </c>
      <c r="D558" t="inlineStr">
        <is>
          <t>JÖNKÖPINGS LÄN</t>
        </is>
      </c>
      <c r="E558" t="inlineStr">
        <is>
          <t>ANEBY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48994-2024</t>
        </is>
      </c>
      <c r="B559" s="1" t="n">
        <v>45594</v>
      </c>
      <c r="C559" s="1" t="n">
        <v>45706</v>
      </c>
      <c r="D559" t="inlineStr">
        <is>
          <t>JÖNKÖPINGS LÄN</t>
        </is>
      </c>
      <c r="E559" t="inlineStr">
        <is>
          <t>ANEBY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49237-2024</t>
        </is>
      </c>
      <c r="B560" s="1" t="n">
        <v>45595</v>
      </c>
      <c r="C560" s="1" t="n">
        <v>45706</v>
      </c>
      <c r="D560" t="inlineStr">
        <is>
          <t>JÖNKÖPINGS LÄN</t>
        </is>
      </c>
      <c r="E560" t="inlineStr">
        <is>
          <t>ANEBY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49235-2024</t>
        </is>
      </c>
      <c r="B561" s="1" t="n">
        <v>45595</v>
      </c>
      <c r="C561" s="1" t="n">
        <v>45706</v>
      </c>
      <c r="D561" t="inlineStr">
        <is>
          <t>JÖNKÖPINGS LÄN</t>
        </is>
      </c>
      <c r="E561" t="inlineStr">
        <is>
          <t>ANEBY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49895-2024</t>
        </is>
      </c>
      <c r="B562" s="1" t="n">
        <v>45597</v>
      </c>
      <c r="C562" s="1" t="n">
        <v>45706</v>
      </c>
      <c r="D562" t="inlineStr">
        <is>
          <t>JÖNKÖPINGS LÄN</t>
        </is>
      </c>
      <c r="E562" t="inlineStr">
        <is>
          <t>ANEBY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49896-2024</t>
        </is>
      </c>
      <c r="B563" s="1" t="n">
        <v>45597</v>
      </c>
      <c r="C563" s="1" t="n">
        <v>45706</v>
      </c>
      <c r="D563" t="inlineStr">
        <is>
          <t>JÖNKÖPINGS LÄN</t>
        </is>
      </c>
      <c r="E563" t="inlineStr">
        <is>
          <t>ANEBY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50069-2024</t>
        </is>
      </c>
      <c r="B564" s="1" t="n">
        <v>45600</v>
      </c>
      <c r="C564" s="1" t="n">
        <v>45706</v>
      </c>
      <c r="D564" t="inlineStr">
        <is>
          <t>JÖNKÖPINGS LÄN</t>
        </is>
      </c>
      <c r="E564" t="inlineStr">
        <is>
          <t>ANEBY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50632-2024</t>
        </is>
      </c>
      <c r="B565" s="1" t="n">
        <v>45601</v>
      </c>
      <c r="C565" s="1" t="n">
        <v>45706</v>
      </c>
      <c r="D565" t="inlineStr">
        <is>
          <t>JÖNKÖPINGS LÄN</t>
        </is>
      </c>
      <c r="E565" t="inlineStr">
        <is>
          <t>ANEBY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52267-2024</t>
        </is>
      </c>
      <c r="B566" s="1" t="n">
        <v>45608</v>
      </c>
      <c r="C566" s="1" t="n">
        <v>45706</v>
      </c>
      <c r="D566" t="inlineStr">
        <is>
          <t>JÖNKÖPINGS LÄN</t>
        </is>
      </c>
      <c r="E566" t="inlineStr">
        <is>
          <t>ANEBY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52493-2024</t>
        </is>
      </c>
      <c r="B567" s="1" t="n">
        <v>45609</v>
      </c>
      <c r="C567" s="1" t="n">
        <v>45706</v>
      </c>
      <c r="D567" t="inlineStr">
        <is>
          <t>JÖNKÖPINGS LÄN</t>
        </is>
      </c>
      <c r="E567" t="inlineStr">
        <is>
          <t>ANEBY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52790-2024</t>
        </is>
      </c>
      <c r="B568" s="1" t="n">
        <v>45610</v>
      </c>
      <c r="C568" s="1" t="n">
        <v>45706</v>
      </c>
      <c r="D568" t="inlineStr">
        <is>
          <t>JÖNKÖPINGS LÄN</t>
        </is>
      </c>
      <c r="E568" t="inlineStr">
        <is>
          <t>ANEBY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53968-2024</t>
        </is>
      </c>
      <c r="B569" s="1" t="n">
        <v>45616</v>
      </c>
      <c r="C569" s="1" t="n">
        <v>45706</v>
      </c>
      <c r="D569" t="inlineStr">
        <is>
          <t>JÖNKÖPINGS LÄN</t>
        </is>
      </c>
      <c r="E569" t="inlineStr">
        <is>
          <t>ANEBY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53966-2024</t>
        </is>
      </c>
      <c r="B570" s="1" t="n">
        <v>45616</v>
      </c>
      <c r="C570" s="1" t="n">
        <v>45706</v>
      </c>
      <c r="D570" t="inlineStr">
        <is>
          <t>JÖNKÖPINGS LÄN</t>
        </is>
      </c>
      <c r="E570" t="inlineStr">
        <is>
          <t>ANEBY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54213-2024</t>
        </is>
      </c>
      <c r="B571" s="1" t="n">
        <v>45616</v>
      </c>
      <c r="C571" s="1" t="n">
        <v>45706</v>
      </c>
      <c r="D571" t="inlineStr">
        <is>
          <t>JÖNKÖPINGS LÄN</t>
        </is>
      </c>
      <c r="E571" t="inlineStr">
        <is>
          <t>ANEBY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54208-2024</t>
        </is>
      </c>
      <c r="B572" s="1" t="n">
        <v>45616</v>
      </c>
      <c r="C572" s="1" t="n">
        <v>45706</v>
      </c>
      <c r="D572" t="inlineStr">
        <is>
          <t>JÖNKÖPINGS LÄN</t>
        </is>
      </c>
      <c r="E572" t="inlineStr">
        <is>
          <t>ANEBY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54220-2024</t>
        </is>
      </c>
      <c r="B573" s="1" t="n">
        <v>45616</v>
      </c>
      <c r="C573" s="1" t="n">
        <v>45706</v>
      </c>
      <c r="D573" t="inlineStr">
        <is>
          <t>JÖNKÖPINGS LÄN</t>
        </is>
      </c>
      <c r="E573" t="inlineStr">
        <is>
          <t>ANEBY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54095-2024</t>
        </is>
      </c>
      <c r="B574" s="1" t="n">
        <v>45616</v>
      </c>
      <c r="C574" s="1" t="n">
        <v>45706</v>
      </c>
      <c r="D574" t="inlineStr">
        <is>
          <t>JÖNKÖPINGS LÄN</t>
        </is>
      </c>
      <c r="E574" t="inlineStr">
        <is>
          <t>ANEBY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54399-2024</t>
        </is>
      </c>
      <c r="B575" s="1" t="n">
        <v>45617</v>
      </c>
      <c r="C575" s="1" t="n">
        <v>45706</v>
      </c>
      <c r="D575" t="inlineStr">
        <is>
          <t>JÖNKÖPINGS LÄN</t>
        </is>
      </c>
      <c r="E575" t="inlineStr">
        <is>
          <t>ANEBY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54403-2024</t>
        </is>
      </c>
      <c r="B576" s="1" t="n">
        <v>45617</v>
      </c>
      <c r="C576" s="1" t="n">
        <v>45706</v>
      </c>
      <c r="D576" t="inlineStr">
        <is>
          <t>JÖNKÖPINGS LÄN</t>
        </is>
      </c>
      <c r="E576" t="inlineStr">
        <is>
          <t>ANEBY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54415-2024</t>
        </is>
      </c>
      <c r="B577" s="1" t="n">
        <v>45617</v>
      </c>
      <c r="C577" s="1" t="n">
        <v>45706</v>
      </c>
      <c r="D577" t="inlineStr">
        <is>
          <t>JÖNKÖPINGS LÄN</t>
        </is>
      </c>
      <c r="E577" t="inlineStr">
        <is>
          <t>ANEBY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56739-2024</t>
        </is>
      </c>
      <c r="B578" s="1" t="n">
        <v>45628</v>
      </c>
      <c r="C578" s="1" t="n">
        <v>45706</v>
      </c>
      <c r="D578" t="inlineStr">
        <is>
          <t>JÖNKÖPINGS LÄN</t>
        </is>
      </c>
      <c r="E578" t="inlineStr">
        <is>
          <t>ANEBY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57991-2024</t>
        </is>
      </c>
      <c r="B579" s="1" t="n">
        <v>45631</v>
      </c>
      <c r="C579" s="1" t="n">
        <v>45706</v>
      </c>
      <c r="D579" t="inlineStr">
        <is>
          <t>JÖNKÖPINGS LÄN</t>
        </is>
      </c>
      <c r="E579" t="inlineStr">
        <is>
          <t>ANEBY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59097-2024</t>
        </is>
      </c>
      <c r="B580" s="1" t="n">
        <v>45636</v>
      </c>
      <c r="C580" s="1" t="n">
        <v>45706</v>
      </c>
      <c r="D580" t="inlineStr">
        <is>
          <t>JÖNKÖPINGS LÄN</t>
        </is>
      </c>
      <c r="E580" t="inlineStr">
        <is>
          <t>ANEBY</t>
        </is>
      </c>
      <c r="F580" t="inlineStr">
        <is>
          <t>Övriga Aktiebolag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59601-2024</t>
        </is>
      </c>
      <c r="B581" s="1" t="n">
        <v>45638</v>
      </c>
      <c r="C581" s="1" t="n">
        <v>45706</v>
      </c>
      <c r="D581" t="inlineStr">
        <is>
          <t>JÖNKÖPINGS LÄN</t>
        </is>
      </c>
      <c r="E581" t="inlineStr">
        <is>
          <t>ANEBY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61005-2024</t>
        </is>
      </c>
      <c r="B582" s="1" t="n">
        <v>45645</v>
      </c>
      <c r="C582" s="1" t="n">
        <v>45706</v>
      </c>
      <c r="D582" t="inlineStr">
        <is>
          <t>JÖNKÖPINGS LÄN</t>
        </is>
      </c>
      <c r="E582" t="inlineStr">
        <is>
          <t>ANEBY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61948-2024</t>
        </is>
      </c>
      <c r="B583" s="1" t="n">
        <v>45653</v>
      </c>
      <c r="C583" s="1" t="n">
        <v>45706</v>
      </c>
      <c r="D583" t="inlineStr">
        <is>
          <t>JÖNKÖPINGS LÄN</t>
        </is>
      </c>
      <c r="E583" t="inlineStr">
        <is>
          <t>ANEBY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61946-2024</t>
        </is>
      </c>
      <c r="B584" s="1" t="n">
        <v>45653</v>
      </c>
      <c r="C584" s="1" t="n">
        <v>45706</v>
      </c>
      <c r="D584" t="inlineStr">
        <is>
          <t>JÖNKÖPINGS LÄN</t>
        </is>
      </c>
      <c r="E584" t="inlineStr">
        <is>
          <t>ANEBY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61951-2024</t>
        </is>
      </c>
      <c r="B585" s="1" t="n">
        <v>45653</v>
      </c>
      <c r="C585" s="1" t="n">
        <v>45706</v>
      </c>
      <c r="D585" t="inlineStr">
        <is>
          <t>JÖNKÖPINGS LÄN</t>
        </is>
      </c>
      <c r="E585" t="inlineStr">
        <is>
          <t>ANEBY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36-2025</t>
        </is>
      </c>
      <c r="B586" s="1" t="n">
        <v>45659</v>
      </c>
      <c r="C586" s="1" t="n">
        <v>45706</v>
      </c>
      <c r="D586" t="inlineStr">
        <is>
          <t>JÖNKÖPINGS LÄN</t>
        </is>
      </c>
      <c r="E586" t="inlineStr">
        <is>
          <t>ANEBY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152-2025</t>
        </is>
      </c>
      <c r="B587" s="1" t="n">
        <v>45659</v>
      </c>
      <c r="C587" s="1" t="n">
        <v>45706</v>
      </c>
      <c r="D587" t="inlineStr">
        <is>
          <t>JÖNKÖPINGS LÄN</t>
        </is>
      </c>
      <c r="E587" t="inlineStr">
        <is>
          <t>ANEBY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764-2025</t>
        </is>
      </c>
      <c r="B588" s="1" t="n">
        <v>45665</v>
      </c>
      <c r="C588" s="1" t="n">
        <v>45706</v>
      </c>
      <c r="D588" t="inlineStr">
        <is>
          <t>JÖNKÖPINGS LÄN</t>
        </is>
      </c>
      <c r="E588" t="inlineStr">
        <is>
          <t>ANEBY</t>
        </is>
      </c>
      <c r="F588" t="inlineStr">
        <is>
          <t>Sveaskog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750-2025</t>
        </is>
      </c>
      <c r="B589" s="1" t="n">
        <v>45665</v>
      </c>
      <c r="C589" s="1" t="n">
        <v>45706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759-2025</t>
        </is>
      </c>
      <c r="B590" s="1" t="n">
        <v>45665</v>
      </c>
      <c r="C590" s="1" t="n">
        <v>45706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1533-2025</t>
        </is>
      </c>
      <c r="B591" s="1" t="n">
        <v>45670</v>
      </c>
      <c r="C591" s="1" t="n">
        <v>45706</v>
      </c>
      <c r="D591" t="inlineStr">
        <is>
          <t>JÖNKÖPINGS LÄN</t>
        </is>
      </c>
      <c r="E591" t="inlineStr">
        <is>
          <t>ANEBY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3553-2025</t>
        </is>
      </c>
      <c r="B592" s="1" t="n">
        <v>45680</v>
      </c>
      <c r="C592" s="1" t="n">
        <v>45706</v>
      </c>
      <c r="D592" t="inlineStr">
        <is>
          <t>JÖNKÖPINGS LÄN</t>
        </is>
      </c>
      <c r="E592" t="inlineStr">
        <is>
          <t>ANEBY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4880-2025</t>
        </is>
      </c>
      <c r="B593" s="1" t="n">
        <v>45688</v>
      </c>
      <c r="C593" s="1" t="n">
        <v>45706</v>
      </c>
      <c r="D593" t="inlineStr">
        <is>
          <t>JÖNKÖPINGS LÄN</t>
        </is>
      </c>
      <c r="E593" t="inlineStr">
        <is>
          <t>ANEBY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45706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45706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4986-2025</t>
        </is>
      </c>
      <c r="B596" s="1" t="n">
        <v>45691</v>
      </c>
      <c r="C596" s="1" t="n">
        <v>45706</v>
      </c>
      <c r="D596" t="inlineStr">
        <is>
          <t>JÖNKÖPINGS LÄN</t>
        </is>
      </c>
      <c r="E596" t="inlineStr">
        <is>
          <t>ANEBY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4988-2025</t>
        </is>
      </c>
      <c r="B597" s="1" t="n">
        <v>45691</v>
      </c>
      <c r="C597" s="1" t="n">
        <v>45706</v>
      </c>
      <c r="D597" t="inlineStr">
        <is>
          <t>JÖNKÖPINGS LÄN</t>
        </is>
      </c>
      <c r="E597" t="inlineStr">
        <is>
          <t>ANEBY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5400-2025</t>
        </is>
      </c>
      <c r="B598" s="1" t="n">
        <v>45692</v>
      </c>
      <c r="C598" s="1" t="n">
        <v>45706</v>
      </c>
      <c r="D598" t="inlineStr">
        <is>
          <t>JÖNKÖPINGS LÄN</t>
        </is>
      </c>
      <c r="E598" t="inlineStr">
        <is>
          <t>ANEBY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45706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6305-2025</t>
        </is>
      </c>
      <c r="B600" s="1" t="n">
        <v>45698</v>
      </c>
      <c r="C600" s="1" t="n">
        <v>45706</v>
      </c>
      <c r="D600" t="inlineStr">
        <is>
          <t>JÖNKÖPINGS LÄN</t>
        </is>
      </c>
      <c r="E600" t="inlineStr">
        <is>
          <t>ANEBY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7521-2025</t>
        </is>
      </c>
      <c r="B601" s="1" t="n">
        <v>45702</v>
      </c>
      <c r="C601" s="1" t="n">
        <v>45706</v>
      </c>
      <c r="D601" t="inlineStr">
        <is>
          <t>JÖNKÖPINGS LÄN</t>
        </is>
      </c>
      <c r="E601" t="inlineStr">
        <is>
          <t>ANEBY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2025-02-18T16:15:37Z</dcterms:created>
  <dcterms:modified xmlns:dcterms="http://purl.org/dc/terms/" xmlns:xsi="http://www.w3.org/2001/XMLSchema-instance" xsi:type="dcterms:W3CDTF">2025-02-18T16:15:38Z</dcterms:modified>
</cp:coreProperties>
</file>