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46234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46234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46234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46234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46234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46234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46234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46234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46234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46234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46234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46234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46234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46234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46234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46234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46234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46234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46234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46234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48560-2025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45936</v>
      </c>
      <c r="E26" s="1" t="n">
        <v>46234</v>
      </c>
      <c r="F26" t="inlineStr">
        <is>
          <t>JÖNKÖPINGS LÄN</t>
        </is>
      </c>
      <c r="G26" t="inlineStr">
        <is>
          <t>ANEBY</t>
        </is>
      </c>
      <c r="I26" t="n">
        <v>0.4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Dofttaggsvamp</t>
        </is>
      </c>
      <c r="W26">
        <f>HYPERLINK("https://klasma.github.io/Logging_0604/artfynd/A 48560-2025 artfynd.xlsx", "A 48560-2025")</f>
        <v/>
      </c>
      <c r="X26">
        <f>HYPERLINK("https://klasma.github.io/Logging_0604/kartor/A 48560-2025 karta.png", "A 48560-2025")</f>
        <v/>
      </c>
      <c r="Y26">
        <f>HYPERLINK("https://klasma.github.io/Logging_0604/kartor_geotiff/A 48560-2025 georefererad karta.tif", "A 48560-2025")</f>
        <v/>
      </c>
      <c r="AA26">
        <f>HYPERLINK("https://klasma.github.io/Logging_0604/klagomål/A 48560-2025 FSC-klagomål.docx", "A 48560-2025")</f>
        <v/>
      </c>
      <c r="AB26">
        <f>HYPERLINK("https://klasma.github.io/Logging_0604/klagomålsmail/A 48560-2025 FSC-klagomål mail.docx", "A 48560-2025")</f>
        <v/>
      </c>
      <c r="AC26">
        <f>HYPERLINK("https://klasma.github.io/Logging_0604/tillsyn/A 48560-2025 tillsynsbegäran.docx", "A 48560-2025")</f>
        <v/>
      </c>
      <c r="AD26">
        <f>HYPERLINK("https://klasma.github.io/Logging_0604/tillsynsmail/A 48560-2025 tillsynsbegäran mail.docx", "A 48560-2025")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46234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28452-2022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46234</v>
      </c>
      <c r="F28" t="inlineStr">
        <is>
          <t>JÖNKÖPINGS LÄN</t>
        </is>
      </c>
      <c r="G28" t="inlineStr">
        <is>
          <t>ANEBY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Odontocerum albicorne</t>
        </is>
      </c>
      <c r="W28">
        <f>HYPERLINK("https://klasma.github.io/Logging_0604/artfynd/A 28452-2022 artfynd.xlsx", "A 28452-2022")</f>
        <v/>
      </c>
      <c r="X28">
        <f>HYPERLINK("https://klasma.github.io/Logging_0604/kartor/A 28452-2022 karta.png", "A 28452-2022")</f>
        <v/>
      </c>
      <c r="Y28">
        <f>HYPERLINK("https://klasma.github.io/Logging_0604/kartor_geotiff/A 28452-2022 georefererad karta.tif", "A 28452-2022")</f>
        <v/>
      </c>
      <c r="AA28">
        <f>HYPERLINK("https://klasma.github.io/Logging_0604/klagomål/A 28452-2022 FSC-klagomål.docx", "A 28452-2022")</f>
        <v/>
      </c>
      <c r="AB28">
        <f>HYPERLINK("https://klasma.github.io/Logging_0604/klagomålsmail/A 28452-2022 FSC-klagomål mail.docx", "A 28452-2022")</f>
        <v/>
      </c>
      <c r="AC28">
        <f>HYPERLINK("https://klasma.github.io/Logging_0604/tillsyn/A 28452-2022 tillsynsbegäran.docx", "A 28452-2022")</f>
        <v/>
      </c>
      <c r="AD28">
        <f>HYPERLINK("https://klasma.github.io/Logging_0604/tillsynsmail/A 28452-2022 tillsynsbegäran mail.docx", "A 28452-2022")</f>
        <v/>
      </c>
    </row>
    <row r="29" ht="15" customHeight="1">
      <c r="A29" t="inlineStr">
        <is>
          <t>A 25875-2024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45467</v>
      </c>
      <c r="E29" s="1" t="n">
        <v>46234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HYPERLINK("https://klasma.github.io/Logging_0604/artfynd/A 25875-2024 artfynd.xlsx", "A 25875-2024")</f>
        <v/>
      </c>
      <c r="X29">
        <f>HYPERLINK("https://klasma.github.io/Logging_0604/kartor/A 25875-2024 karta.png", "A 25875-2024")</f>
        <v/>
      </c>
      <c r="Y29">
        <f>HYPERLINK("https://klasma.github.io/Logging_0604/kartor_geotiff/A 25875-2024 georefererad karta.tif", "A 25875-2024")</f>
        <v/>
      </c>
      <c r="AA29">
        <f>HYPERLINK("https://klasma.github.io/Logging_0604/klagomål/A 25875-2024 FSC-klagomål.docx", "A 25875-2024")</f>
        <v/>
      </c>
      <c r="AB29">
        <f>HYPERLINK("https://klasma.github.io/Logging_0604/klagomålsmail/A 25875-2024 FSC-klagomål mail.docx", "A 25875-2024")</f>
        <v/>
      </c>
      <c r="AC29">
        <f>HYPERLINK("https://klasma.github.io/Logging_0604/tillsyn/A 25875-2024 tillsynsbegäran.docx", "A 25875-2024")</f>
        <v/>
      </c>
      <c r="AD29">
        <f>HYPERLINK("https://klasma.github.io/Logging_0604/tillsynsmail/A 25875-2024 tillsynsbegäran mail.docx", "A 25875-2024")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46234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46234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46234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46234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46234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46234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46234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46234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46234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46234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46234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46234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46234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46234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46234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46234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46234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46234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46234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46234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46234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46234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46234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46234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46234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46234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46234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46234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46234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46234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46234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46234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46234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46234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46234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46234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46234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46234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46234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46234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46234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46234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46234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46234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46234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46234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46234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46234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46234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46234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45775</v>
      </c>
      <c r="E83" s="1" t="n">
        <v>46234</v>
      </c>
      <c r="F83" t="inlineStr">
        <is>
          <t>JÖNKÖPINGS LÄN</t>
        </is>
      </c>
      <c r="G83" t="inlineStr">
        <is>
          <t>ANEBY</t>
        </is>
      </c>
      <c r="H83" t="inlineStr">
        <is>
          <t>Kyrkan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45126</v>
      </c>
      <c r="E84" s="1" t="n">
        <v>46234</v>
      </c>
      <c r="F84" t="inlineStr">
        <is>
          <t>JÖNKÖPINGS LÄN</t>
        </is>
      </c>
      <c r="G84" t="inlineStr">
        <is>
          <t>ANEBY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46234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46234</v>
      </c>
      <c r="F86" t="inlineStr">
        <is>
          <t>JÖNKÖPINGS LÄN</t>
        </is>
      </c>
      <c r="G86" t="inlineStr">
        <is>
          <t>ANEBY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45001</v>
      </c>
      <c r="E87" s="1" t="n">
        <v>46234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45033</v>
      </c>
      <c r="E88" s="1" t="n">
        <v>46234</v>
      </c>
      <c r="F88" t="inlineStr">
        <is>
          <t>JÖNKÖPINGS LÄN</t>
        </is>
      </c>
      <c r="G88" t="inlineStr">
        <is>
          <t>ANEBY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19362-2025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45769</v>
      </c>
      <c r="E89" s="1" t="n">
        <v>46234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44985</v>
      </c>
      <c r="E90" s="1" t="n">
        <v>46234</v>
      </c>
      <c r="F90" t="inlineStr">
        <is>
          <t>JÖNKÖPINGS LÄN</t>
        </is>
      </c>
      <c r="G90" t="inlineStr">
        <is>
          <t>ANEBY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46234</v>
      </c>
      <c r="F91" t="inlineStr">
        <is>
          <t>JÖNKÖPINGS LÄN</t>
        </is>
      </c>
      <c r="G91" t="inlineStr">
        <is>
          <t>ANEBY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46234</v>
      </c>
      <c r="F92" t="inlineStr">
        <is>
          <t>JÖNKÖPINGS LÄN</t>
        </is>
      </c>
      <c r="G92" t="inlineStr">
        <is>
          <t>ANEBY</t>
        </is>
      </c>
      <c r="H92" t="inlineStr">
        <is>
          <t>Övriga Aktiebolag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45122</v>
      </c>
      <c r="E93" s="1" t="n">
        <v>46234</v>
      </c>
      <c r="F93" t="inlineStr">
        <is>
          <t>JÖNKÖPINGS LÄN</t>
        </is>
      </c>
      <c r="G93" t="inlineStr">
        <is>
          <t>ANEBY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46234</v>
      </c>
      <c r="F94" t="inlineStr">
        <is>
          <t>JÖNKÖPINGS LÄN</t>
        </is>
      </c>
      <c r="G94" t="inlineStr">
        <is>
          <t>ANEBY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44888</v>
      </c>
      <c r="E95" s="1" t="n">
        <v>46234</v>
      </c>
      <c r="F95" t="inlineStr">
        <is>
          <t>JÖNKÖPINGS LÄN</t>
        </is>
      </c>
      <c r="G95" t="inlineStr">
        <is>
          <t>ANEBY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46234</v>
      </c>
      <c r="F96" t="inlineStr">
        <is>
          <t>JÖNKÖPINGS LÄN</t>
        </is>
      </c>
      <c r="G96" t="inlineStr">
        <is>
          <t>ANEBY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46234</v>
      </c>
      <c r="F97" t="inlineStr">
        <is>
          <t>JÖNKÖPINGS LÄN</t>
        </is>
      </c>
      <c r="G97" t="inlineStr">
        <is>
          <t>ANEBY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39441-2025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45889</v>
      </c>
      <c r="E98" s="1" t="n">
        <v>46234</v>
      </c>
      <c r="F98" t="inlineStr">
        <is>
          <t>JÖNKÖPINGS LÄN</t>
        </is>
      </c>
      <c r="G98" t="inlineStr">
        <is>
          <t>ANEBY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45889</v>
      </c>
      <c r="E99" s="1" t="n">
        <v>46234</v>
      </c>
      <c r="F99" t="inlineStr">
        <is>
          <t>JÖNKÖPINGS LÄN</t>
        </is>
      </c>
      <c r="G99" t="inlineStr">
        <is>
          <t>ANEBY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46234</v>
      </c>
      <c r="F100" t="inlineStr">
        <is>
          <t>JÖNKÖPINGS LÄN</t>
        </is>
      </c>
      <c r="G100" t="inlineStr">
        <is>
          <t>ANEBY</t>
        </is>
      </c>
      <c r="H100" t="inlineStr">
        <is>
          <t>Sveaskog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46234</v>
      </c>
      <c r="F101" t="inlineStr">
        <is>
          <t>JÖNKÖPINGS LÄN</t>
        </is>
      </c>
      <c r="G101" t="inlineStr">
        <is>
          <t>ANEBY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46234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46234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46234</v>
      </c>
      <c r="F104" t="inlineStr">
        <is>
          <t>JÖNKÖPINGS LÄN</t>
        </is>
      </c>
      <c r="G104" t="inlineStr">
        <is>
          <t>ANEBY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45398</v>
      </c>
      <c r="E105" s="1" t="n">
        <v>46234</v>
      </c>
      <c r="F105" t="inlineStr">
        <is>
          <t>JÖNKÖPINGS LÄN</t>
        </is>
      </c>
      <c r="G105" t="inlineStr">
        <is>
          <t>ANEBY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46234</v>
      </c>
      <c r="F106" t="inlineStr">
        <is>
          <t>JÖNKÖPINGS LÄN</t>
        </is>
      </c>
      <c r="G106" t="inlineStr">
        <is>
          <t>ANEBY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45384</v>
      </c>
      <c r="E107" s="1" t="n">
        <v>46234</v>
      </c>
      <c r="F107" t="inlineStr">
        <is>
          <t>JÖNKÖPINGS LÄN</t>
        </is>
      </c>
      <c r="G107" t="inlineStr">
        <is>
          <t>ANEBY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49427-2023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45205</v>
      </c>
      <c r="E108" s="1" t="n">
        <v>46234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46234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46234</v>
      </c>
      <c r="F110" t="inlineStr">
        <is>
          <t>JÖNKÖPINGS LÄN</t>
        </is>
      </c>
      <c r="G110" t="inlineStr">
        <is>
          <t>ANEBY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46234</v>
      </c>
      <c r="F111" t="inlineStr">
        <is>
          <t>JÖNKÖPINGS LÄN</t>
        </is>
      </c>
      <c r="G111" t="inlineStr">
        <is>
          <t>ANEBY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46234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46234</v>
      </c>
      <c r="F113" t="inlineStr">
        <is>
          <t>JÖNKÖPINGS LÄN</t>
        </is>
      </c>
      <c r="G113" t="inlineStr">
        <is>
          <t>ANEBY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46234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46234</v>
      </c>
      <c r="F115" t="inlineStr">
        <is>
          <t>JÖNKÖPINGS LÄN</t>
        </is>
      </c>
      <c r="G115" t="inlineStr">
        <is>
          <t>ANEBY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46234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35555-2024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45531</v>
      </c>
      <c r="E117" s="1" t="n">
        <v>46234</v>
      </c>
      <c r="F117" t="inlineStr">
        <is>
          <t>JÖNKÖPINGS LÄN</t>
        </is>
      </c>
      <c r="G117" t="inlineStr">
        <is>
          <t>ANEBY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46234</v>
      </c>
      <c r="F118" t="inlineStr">
        <is>
          <t>JÖNKÖPINGS LÄN</t>
        </is>
      </c>
      <c r="G118" t="inlineStr">
        <is>
          <t>ANEBY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46234</v>
      </c>
      <c r="F119" t="inlineStr">
        <is>
          <t>JÖNKÖPINGS LÄN</t>
        </is>
      </c>
      <c r="G119" t="inlineStr">
        <is>
          <t>ANEBY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43528-2025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45911</v>
      </c>
      <c r="E120" s="1" t="n">
        <v>46234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46234</v>
      </c>
      <c r="F121" t="inlineStr">
        <is>
          <t>JÖNKÖPINGS LÄN</t>
        </is>
      </c>
      <c r="G121" t="inlineStr">
        <is>
          <t>ANEBY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46234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703-2024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45300</v>
      </c>
      <c r="E123" s="1" t="n">
        <v>46234</v>
      </c>
      <c r="F123" t="inlineStr">
        <is>
          <t>JÖNKÖPINGS LÄN</t>
        </is>
      </c>
      <c r="G123" t="inlineStr">
        <is>
          <t>ANEBY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11565-2025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45727</v>
      </c>
      <c r="E124" s="1" t="n">
        <v>46234</v>
      </c>
      <c r="F124" t="inlineStr">
        <is>
          <t>JÖNKÖPINGS LÄN</t>
        </is>
      </c>
      <c r="G124" t="inlineStr">
        <is>
          <t>ANEBY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46234</v>
      </c>
      <c r="F125" t="inlineStr">
        <is>
          <t>JÖNKÖPINGS LÄN</t>
        </is>
      </c>
      <c r="G125" t="inlineStr">
        <is>
          <t>ANEBY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45924</v>
      </c>
      <c r="E126" s="1" t="n">
        <v>46234</v>
      </c>
      <c r="F126" t="inlineStr">
        <is>
          <t>JÖNKÖPINGS LÄN</t>
        </is>
      </c>
      <c r="G126" t="inlineStr">
        <is>
          <t>ANEBY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45461</v>
      </c>
      <c r="E127" s="1" t="n">
        <v>46234</v>
      </c>
      <c r="F127" t="inlineStr">
        <is>
          <t>JÖNKÖPINGS LÄN</t>
        </is>
      </c>
      <c r="G127" t="inlineStr">
        <is>
          <t>ANEBY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46234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46234</v>
      </c>
      <c r="F129" t="inlineStr">
        <is>
          <t>JÖNKÖPINGS LÄN</t>
        </is>
      </c>
      <c r="G129" t="inlineStr">
        <is>
          <t>ANEBY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45141</v>
      </c>
      <c r="E130" s="1" t="n">
        <v>46234</v>
      </c>
      <c r="F130" t="inlineStr">
        <is>
          <t>JÖNKÖPINGS LÄN</t>
        </is>
      </c>
      <c r="G130" t="inlineStr">
        <is>
          <t>ANEBY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46234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46234</v>
      </c>
      <c r="F132" t="inlineStr">
        <is>
          <t>JÖNKÖPINGS LÄN</t>
        </is>
      </c>
      <c r="G132" t="inlineStr">
        <is>
          <t>ANEBY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46234</v>
      </c>
      <c r="F133" t="inlineStr">
        <is>
          <t>JÖNKÖPINGS LÄN</t>
        </is>
      </c>
      <c r="G133" t="inlineStr">
        <is>
          <t>ANEBY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45236</v>
      </c>
      <c r="E134" s="1" t="n">
        <v>46234</v>
      </c>
      <c r="F134" t="inlineStr">
        <is>
          <t>JÖNKÖPINGS LÄN</t>
        </is>
      </c>
      <c r="G134" t="inlineStr">
        <is>
          <t>ANEBY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46234</v>
      </c>
      <c r="F135" t="inlineStr">
        <is>
          <t>JÖNKÖPINGS LÄN</t>
        </is>
      </c>
      <c r="G135" t="inlineStr">
        <is>
          <t>ANEBY</t>
        </is>
      </c>
      <c r="H135" t="inlineStr">
        <is>
          <t>Övriga Aktiebolag</t>
        </is>
      </c>
      <c r="I135" t="n">
        <v>16.8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46234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45300</v>
      </c>
      <c r="E137" s="1" t="n">
        <v>46234</v>
      </c>
      <c r="F137" t="inlineStr">
        <is>
          <t>JÖNKÖPINGS LÄN</t>
        </is>
      </c>
      <c r="G137" t="inlineStr">
        <is>
          <t>ANEBY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46234</v>
      </c>
      <c r="F138" t="inlineStr">
        <is>
          <t>JÖNKÖPINGS LÄN</t>
        </is>
      </c>
      <c r="G138" t="inlineStr">
        <is>
          <t>ANEBY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45183</v>
      </c>
      <c r="E139" s="1" t="n">
        <v>46234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45960</v>
      </c>
      <c r="E140" s="1" t="n">
        <v>46234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45304</v>
      </c>
      <c r="E141" s="1" t="n">
        <v>46234</v>
      </c>
      <c r="F141" t="inlineStr">
        <is>
          <t>JÖNKÖPINGS LÄN</t>
        </is>
      </c>
      <c r="G141" t="inlineStr">
        <is>
          <t>ANEBY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46234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45475</v>
      </c>
      <c r="E143" s="1" t="n">
        <v>46234</v>
      </c>
      <c r="F143" t="inlineStr">
        <is>
          <t>JÖNKÖPINGS LÄN</t>
        </is>
      </c>
      <c r="G143" t="inlineStr">
        <is>
          <t>ANEBY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35417-2023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46234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46234</v>
      </c>
      <c r="F145" t="inlineStr">
        <is>
          <t>JÖNKÖPINGS LÄN</t>
        </is>
      </c>
      <c r="G145" t="inlineStr">
        <is>
          <t>ANEBY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45586</v>
      </c>
      <c r="E146" s="1" t="n">
        <v>46234</v>
      </c>
      <c r="F146" t="inlineStr">
        <is>
          <t>JÖNKÖPINGS LÄN</t>
        </is>
      </c>
      <c r="G146" t="inlineStr">
        <is>
          <t>ANEBY</t>
        </is>
      </c>
      <c r="H146" t="inlineStr">
        <is>
          <t>Övriga Aktiebolag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46234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44860</v>
      </c>
      <c r="E148" s="1" t="n">
        <v>46234</v>
      </c>
      <c r="F148" t="inlineStr">
        <is>
          <t>JÖNKÖPINGS LÄN</t>
        </is>
      </c>
      <c r="G148" t="inlineStr">
        <is>
          <t>ANEBY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46234</v>
      </c>
      <c r="F149" t="inlineStr">
        <is>
          <t>JÖNKÖPINGS LÄN</t>
        </is>
      </c>
      <c r="G149" t="inlineStr">
        <is>
          <t>ANEBY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46234</v>
      </c>
      <c r="F150" t="inlineStr">
        <is>
          <t>JÖNKÖPINGS LÄN</t>
        </is>
      </c>
      <c r="G150" t="inlineStr">
        <is>
          <t>ANEBY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46234</v>
      </c>
      <c r="F151" t="inlineStr">
        <is>
          <t>JÖNKÖPINGS LÄN</t>
        </is>
      </c>
      <c r="G151" t="inlineStr">
        <is>
          <t>ANEBY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46234</v>
      </c>
      <c r="F152" t="inlineStr">
        <is>
          <t>JÖNKÖPINGS LÄN</t>
        </is>
      </c>
      <c r="G152" t="inlineStr">
        <is>
          <t>ANEBY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57174-2021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46234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45020</v>
      </c>
      <c r="E154" s="1" t="n">
        <v>46234</v>
      </c>
      <c r="F154" t="inlineStr">
        <is>
          <t>JÖNKÖPINGS LÄN</t>
        </is>
      </c>
      <c r="G154" t="inlineStr">
        <is>
          <t>ANEBY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46234</v>
      </c>
      <c r="F155" t="inlineStr">
        <is>
          <t>JÖNKÖPINGS LÄN</t>
        </is>
      </c>
      <c r="G155" t="inlineStr">
        <is>
          <t>ANEBY</t>
        </is>
      </c>
      <c r="H155" t="inlineStr">
        <is>
          <t>Sveaskog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45330</v>
      </c>
      <c r="E156" s="1" t="n">
        <v>46234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45357</v>
      </c>
      <c r="E157" s="1" t="n">
        <v>46234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45086</v>
      </c>
      <c r="E158" s="1" t="n">
        <v>46234</v>
      </c>
      <c r="F158" t="inlineStr">
        <is>
          <t>JÖNKÖPINGS LÄN</t>
        </is>
      </c>
      <c r="G158" t="inlineStr">
        <is>
          <t>ANEBY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46234</v>
      </c>
      <c r="F159" t="inlineStr">
        <is>
          <t>JÖNKÖPINGS LÄN</t>
        </is>
      </c>
      <c r="G159" t="inlineStr">
        <is>
          <t>ANEBY</t>
        </is>
      </c>
      <c r="H159" t="inlineStr">
        <is>
          <t>Övriga Aktiebolag</t>
        </is>
      </c>
      <c r="I159" t="n">
        <v>19.6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46234</v>
      </c>
      <c r="F160" t="inlineStr">
        <is>
          <t>JÖNKÖPINGS LÄN</t>
        </is>
      </c>
      <c r="G160" t="inlineStr">
        <is>
          <t>ANEBY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46234</v>
      </c>
      <c r="F161" t="inlineStr">
        <is>
          <t>JÖNKÖPINGS LÄN</t>
        </is>
      </c>
      <c r="G161" t="inlineStr">
        <is>
          <t>ANEBY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45124</v>
      </c>
      <c r="E162" s="1" t="n">
        <v>46234</v>
      </c>
      <c r="F162" t="inlineStr">
        <is>
          <t>JÖNKÖPINGS LÄN</t>
        </is>
      </c>
      <c r="G162" t="inlineStr">
        <is>
          <t>ANEBY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46234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46234</v>
      </c>
      <c r="F164" t="inlineStr">
        <is>
          <t>JÖNKÖPINGS LÄN</t>
        </is>
      </c>
      <c r="G164" t="inlineStr">
        <is>
          <t>ANEBY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57170-2021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46234</v>
      </c>
      <c r="F165" t="inlineStr">
        <is>
          <t>JÖNKÖPINGS LÄN</t>
        </is>
      </c>
      <c r="G165" t="inlineStr">
        <is>
          <t>ANEBY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35773-2023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45148</v>
      </c>
      <c r="E166" s="1" t="n">
        <v>46234</v>
      </c>
      <c r="F166" t="inlineStr">
        <is>
          <t>JÖNKÖPINGS LÄN</t>
        </is>
      </c>
      <c r="G166" t="inlineStr">
        <is>
          <t>ANEBY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56735-2021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44481</v>
      </c>
      <c r="E167" s="1" t="n">
        <v>46234</v>
      </c>
      <c r="F167" t="inlineStr">
        <is>
          <t>JÖNKÖPINGS LÄN</t>
        </is>
      </c>
      <c r="G167" t="inlineStr">
        <is>
          <t>ANEBY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9541-2024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46234</v>
      </c>
      <c r="F168" t="inlineStr">
        <is>
          <t>JÖNKÖPINGS LÄN</t>
        </is>
      </c>
      <c r="G168" t="inlineStr">
        <is>
          <t>ANEBY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44705</v>
      </c>
      <c r="E169" s="1" t="n">
        <v>46234</v>
      </c>
      <c r="F169" t="inlineStr">
        <is>
          <t>JÖNKÖPINGS LÄN</t>
        </is>
      </c>
      <c r="G169" t="inlineStr">
        <is>
          <t>ANEBY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46234</v>
      </c>
      <c r="F170" t="inlineStr">
        <is>
          <t>JÖNKÖPINGS LÄN</t>
        </is>
      </c>
      <c r="G170" t="inlineStr">
        <is>
          <t>ANEBY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46234</v>
      </c>
      <c r="F171" t="inlineStr">
        <is>
          <t>JÖNKÖPINGS LÄN</t>
        </is>
      </c>
      <c r="G171" t="inlineStr">
        <is>
          <t>ANEBY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46234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46234</v>
      </c>
      <c r="F173" t="inlineStr">
        <is>
          <t>JÖNKÖPINGS LÄN</t>
        </is>
      </c>
      <c r="G173" t="inlineStr">
        <is>
          <t>ANEBY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46234</v>
      </c>
      <c r="F174" t="inlineStr">
        <is>
          <t>JÖNKÖPINGS LÄN</t>
        </is>
      </c>
      <c r="G174" t="inlineStr">
        <is>
          <t>ANEBY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46234</v>
      </c>
      <c r="F175" t="inlineStr">
        <is>
          <t>JÖNKÖPINGS LÄN</t>
        </is>
      </c>
      <c r="G175" t="inlineStr">
        <is>
          <t>ANEBY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46234</v>
      </c>
      <c r="F176" t="inlineStr">
        <is>
          <t>JÖNKÖPINGS LÄN</t>
        </is>
      </c>
      <c r="G176" t="inlineStr">
        <is>
          <t>ANEBY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46234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46234</v>
      </c>
      <c r="F178" t="inlineStr">
        <is>
          <t>JÖNKÖPINGS LÄN</t>
        </is>
      </c>
      <c r="G178" t="inlineStr">
        <is>
          <t>ANEBY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46234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46234</v>
      </c>
      <c r="F180" t="inlineStr">
        <is>
          <t>JÖNKÖPINGS LÄN</t>
        </is>
      </c>
      <c r="G180" t="inlineStr">
        <is>
          <t>ANEBY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46234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46234</v>
      </c>
      <c r="F182" t="inlineStr">
        <is>
          <t>JÖNKÖPINGS LÄN</t>
        </is>
      </c>
      <c r="G182" t="inlineStr">
        <is>
          <t>ANEBY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46234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46234</v>
      </c>
      <c r="F184" t="inlineStr">
        <is>
          <t>JÖNKÖPINGS LÄN</t>
        </is>
      </c>
      <c r="G184" t="inlineStr">
        <is>
          <t>ANEBY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46234</v>
      </c>
      <c r="F185" t="inlineStr">
        <is>
          <t>JÖNKÖPINGS LÄN</t>
        </is>
      </c>
      <c r="G185" t="inlineStr">
        <is>
          <t>ANEBY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45572</v>
      </c>
      <c r="E186" s="1" t="n">
        <v>46234</v>
      </c>
      <c r="F186" t="inlineStr">
        <is>
          <t>JÖNKÖPINGS LÄN</t>
        </is>
      </c>
      <c r="G186" t="inlineStr">
        <is>
          <t>ANEBY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44477</v>
      </c>
      <c r="E187" s="1" t="n">
        <v>46234</v>
      </c>
      <c r="F187" t="inlineStr">
        <is>
          <t>JÖNKÖPINGS LÄN</t>
        </is>
      </c>
      <c r="G187" t="inlineStr">
        <is>
          <t>ANEBY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46234</v>
      </c>
      <c r="F188" t="inlineStr">
        <is>
          <t>JÖNKÖPINGS LÄN</t>
        </is>
      </c>
      <c r="G188" t="inlineStr">
        <is>
          <t>ANEBY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46234</v>
      </c>
      <c r="F189" t="inlineStr">
        <is>
          <t>JÖNKÖPINGS LÄN</t>
        </is>
      </c>
      <c r="G189" t="inlineStr">
        <is>
          <t>ANEBY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46234</v>
      </c>
      <c r="F190" t="inlineStr">
        <is>
          <t>JÖNKÖPINGS LÄN</t>
        </is>
      </c>
      <c r="G190" t="inlineStr">
        <is>
          <t>ANEBY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46234</v>
      </c>
      <c r="F191" t="inlineStr">
        <is>
          <t>JÖNKÖPINGS LÄN</t>
        </is>
      </c>
      <c r="G191" t="inlineStr">
        <is>
          <t>ANEBY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44606</v>
      </c>
      <c r="E192" s="1" t="n">
        <v>46234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45393</v>
      </c>
      <c r="E193" s="1" t="n">
        <v>46234</v>
      </c>
      <c r="F193" t="inlineStr">
        <is>
          <t>JÖNKÖPINGS LÄN</t>
        </is>
      </c>
      <c r="G193" t="inlineStr">
        <is>
          <t>ANEBY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45000</v>
      </c>
      <c r="E194" s="1" t="n">
        <v>46234</v>
      </c>
      <c r="F194" t="inlineStr">
        <is>
          <t>JÖNKÖPINGS LÄN</t>
        </is>
      </c>
      <c r="G194" t="inlineStr">
        <is>
          <t>ANEBY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46234</v>
      </c>
      <c r="F195" t="inlineStr">
        <is>
          <t>JÖNKÖPINGS LÄN</t>
        </is>
      </c>
      <c r="G195" t="inlineStr">
        <is>
          <t>ANEBY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46234</v>
      </c>
      <c r="F196" t="inlineStr">
        <is>
          <t>JÖNKÖPINGS LÄN</t>
        </is>
      </c>
      <c r="G196" t="inlineStr">
        <is>
          <t>ANEBY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23607-2024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45454</v>
      </c>
      <c r="E197" s="1" t="n">
        <v>46234</v>
      </c>
      <c r="F197" t="inlineStr">
        <is>
          <t>JÖNKÖPINGS LÄN</t>
        </is>
      </c>
      <c r="G197" t="inlineStr">
        <is>
          <t>ANEBY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44705</v>
      </c>
      <c r="E198" s="1" t="n">
        <v>46234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46234</v>
      </c>
      <c r="F199" t="inlineStr">
        <is>
          <t>JÖNKÖPINGS LÄN</t>
        </is>
      </c>
      <c r="G199" t="inlineStr">
        <is>
          <t>ANEBY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21026-2024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45439</v>
      </c>
      <c r="E200" s="1" t="n">
        <v>46234</v>
      </c>
      <c r="F200" t="inlineStr">
        <is>
          <t>JÖNKÖPINGS LÄN</t>
        </is>
      </c>
      <c r="G200" t="inlineStr">
        <is>
          <t>ANEBY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46056</v>
      </c>
      <c r="E201" s="1" t="n">
        <v>46234</v>
      </c>
      <c r="F201" t="inlineStr">
        <is>
          <t>JÖNKÖPINGS LÄN</t>
        </is>
      </c>
      <c r="G201" t="inlineStr">
        <is>
          <t>ANEBY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6827-2026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46057</v>
      </c>
      <c r="E202" s="1" t="n">
        <v>46234</v>
      </c>
      <c r="F202" t="inlineStr">
        <is>
          <t>JÖNKÖPINGS LÄN</t>
        </is>
      </c>
      <c r="G202" t="inlineStr">
        <is>
          <t>ANEBY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46234</v>
      </c>
      <c r="F203" t="inlineStr">
        <is>
          <t>JÖNKÖPINGS LÄN</t>
        </is>
      </c>
      <c r="G203" t="inlineStr">
        <is>
          <t>ANEBY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46234</v>
      </c>
      <c r="F204" t="inlineStr">
        <is>
          <t>JÖNKÖPINGS LÄN</t>
        </is>
      </c>
      <c r="G204" t="inlineStr">
        <is>
          <t>ANEBY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46234</v>
      </c>
      <c r="F205" t="inlineStr">
        <is>
          <t>JÖNKÖPINGS LÄN</t>
        </is>
      </c>
      <c r="G205" t="inlineStr">
        <is>
          <t>ANEBY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7263-2026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46058</v>
      </c>
      <c r="E206" s="1" t="n">
        <v>46234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46234</v>
      </c>
      <c r="F207" t="inlineStr">
        <is>
          <t>JÖNKÖPINGS LÄN</t>
        </is>
      </c>
      <c r="G207" t="inlineStr">
        <is>
          <t>ANEBY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46234</v>
      </c>
      <c r="F208" t="inlineStr">
        <is>
          <t>JÖNKÖPINGS LÄN</t>
        </is>
      </c>
      <c r="G208" t="inlineStr">
        <is>
          <t>ANEBY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46234</v>
      </c>
      <c r="F209" t="inlineStr">
        <is>
          <t>JÖNKÖPINGS LÄN</t>
        </is>
      </c>
      <c r="G209" t="inlineStr">
        <is>
          <t>ANEBY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46234</v>
      </c>
      <c r="F210" t="inlineStr">
        <is>
          <t>JÖNKÖPINGS LÄN</t>
        </is>
      </c>
      <c r="G210" t="inlineStr">
        <is>
          <t>ANEBY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46234</v>
      </c>
      <c r="F211" t="inlineStr">
        <is>
          <t>JÖNKÖPINGS LÄN</t>
        </is>
      </c>
      <c r="G211" t="inlineStr">
        <is>
          <t>ANEBY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46234</v>
      </c>
      <c r="F212" t="inlineStr">
        <is>
          <t>JÖNKÖPINGS LÄN</t>
        </is>
      </c>
      <c r="G212" t="inlineStr">
        <is>
          <t>ANEBY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46064</v>
      </c>
      <c r="E213" s="1" t="n">
        <v>46234</v>
      </c>
      <c r="F213" t="inlineStr">
        <is>
          <t>JÖNKÖPINGS LÄN</t>
        </is>
      </c>
      <c r="G213" t="inlineStr">
        <is>
          <t>ANEBY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46234</v>
      </c>
      <c r="F214" t="inlineStr">
        <is>
          <t>JÖNKÖPINGS LÄN</t>
        </is>
      </c>
      <c r="G214" t="inlineStr">
        <is>
          <t>ANEBY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46234</v>
      </c>
      <c r="F215" t="inlineStr">
        <is>
          <t>JÖNKÖPINGS LÄN</t>
        </is>
      </c>
      <c r="G215" t="inlineStr">
        <is>
          <t>ANEBY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46234</v>
      </c>
      <c r="F216" t="inlineStr">
        <is>
          <t>JÖNKÖPINGS LÄN</t>
        </is>
      </c>
      <c r="G216" t="inlineStr">
        <is>
          <t>ANEBY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46073</v>
      </c>
      <c r="E217" s="1" t="n">
        <v>46234</v>
      </c>
      <c r="F217" t="inlineStr">
        <is>
          <t>JÖNKÖPINGS LÄN</t>
        </is>
      </c>
      <c r="G217" t="inlineStr">
        <is>
          <t>ANEBY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45357</v>
      </c>
      <c r="E218" s="1" t="n">
        <v>46234</v>
      </c>
      <c r="F218" t="inlineStr">
        <is>
          <t>JÖNKÖPINGS LÄN</t>
        </is>
      </c>
      <c r="G218" t="inlineStr">
        <is>
          <t>ANEBY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46076</v>
      </c>
      <c r="E219" s="1" t="n">
        <v>46234</v>
      </c>
      <c r="F219" t="inlineStr">
        <is>
          <t>JÖNKÖPINGS LÄN</t>
        </is>
      </c>
      <c r="G219" t="inlineStr">
        <is>
          <t>ANEBY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46234</v>
      </c>
      <c r="F220" t="inlineStr">
        <is>
          <t>JÖNKÖPINGS LÄN</t>
        </is>
      </c>
      <c r="G220" t="inlineStr">
        <is>
          <t>ANEBY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46234</v>
      </c>
      <c r="F221" t="inlineStr">
        <is>
          <t>JÖNKÖPINGS LÄN</t>
        </is>
      </c>
      <c r="G221" t="inlineStr">
        <is>
          <t>ANEBY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45372</v>
      </c>
      <c r="E222" s="1" t="n">
        <v>46234</v>
      </c>
      <c r="F222" t="inlineStr">
        <is>
          <t>JÖNKÖPINGS LÄN</t>
        </is>
      </c>
      <c r="G222" t="inlineStr">
        <is>
          <t>ANEBY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46234</v>
      </c>
      <c r="F223" t="inlineStr">
        <is>
          <t>JÖNKÖPINGS LÄN</t>
        </is>
      </c>
      <c r="G223" t="inlineStr">
        <is>
          <t>ANEBY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46234</v>
      </c>
      <c r="F224" t="inlineStr">
        <is>
          <t>JÖNKÖPINGS LÄN</t>
        </is>
      </c>
      <c r="G224" t="inlineStr">
        <is>
          <t>ANEBY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46234</v>
      </c>
      <c r="F225" t="inlineStr">
        <is>
          <t>JÖNKÖPINGS LÄN</t>
        </is>
      </c>
      <c r="G225" t="inlineStr">
        <is>
          <t>ANEBY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73166-2021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46234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46234</v>
      </c>
      <c r="F227" t="inlineStr">
        <is>
          <t>JÖNKÖPINGS LÄN</t>
        </is>
      </c>
      <c r="G227" t="inlineStr">
        <is>
          <t>ANEBY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44623</v>
      </c>
      <c r="E228" s="1" t="n">
        <v>46234</v>
      </c>
      <c r="F228" t="inlineStr">
        <is>
          <t>JÖNKÖPINGS LÄN</t>
        </is>
      </c>
      <c r="G228" t="inlineStr">
        <is>
          <t>ANEBY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23349-2023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45076</v>
      </c>
      <c r="E229" s="1" t="n">
        <v>46234</v>
      </c>
      <c r="F229" t="inlineStr">
        <is>
          <t>JÖNKÖPINGS LÄN</t>
        </is>
      </c>
      <c r="G229" t="inlineStr">
        <is>
          <t>ANEBY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46234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45467</v>
      </c>
      <c r="E231" s="1" t="n">
        <v>46234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HYPERLINK("https://klasma.github.io/Logging_0604/knärot/A 25963-2024 karta knärot.png", "A 25963-2024")</f>
        <v/>
      </c>
      <c r="AA231">
        <f>HYPERLINK("https://klasma.github.io/Logging_0604/klagomål/A 25963-2024 FSC-klagomål.docx", "A 25963-2024")</f>
        <v/>
      </c>
      <c r="AB231">
        <f>HYPERLINK("https://klasma.github.io/Logging_0604/klagomålsmail/A 25963-2024 FSC-klagomål mail.docx", "A 25963-2024")</f>
        <v/>
      </c>
      <c r="AC231">
        <f>HYPERLINK("https://klasma.github.io/Logging_0604/tillsyn/A 25963-2024 tillsynsbegäran.docx", "A 25963-2024")</f>
        <v/>
      </c>
      <c r="AD231">
        <f>HYPERLINK("https://klasma.github.io/Logging_0604/tillsynsmail/A 25963-2024 tillsynsbegäran mail.docx", "A 25963-2024")</f>
        <v/>
      </c>
    </row>
    <row r="232" ht="15" customHeight="1">
      <c r="A232" t="inlineStr">
        <is>
          <t>A 21812-2023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46234</v>
      </c>
      <c r="F232" t="inlineStr">
        <is>
          <t>JÖNKÖPINGS LÄN</t>
        </is>
      </c>
      <c r="G232" t="inlineStr">
        <is>
          <t>ANEBY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46234</v>
      </c>
      <c r="F233" t="inlineStr">
        <is>
          <t>JÖNKÖPINGS LÄN</t>
        </is>
      </c>
      <c r="G233" t="inlineStr">
        <is>
          <t>ANEBY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46234</v>
      </c>
      <c r="F234" t="inlineStr">
        <is>
          <t>JÖNKÖPINGS LÄN</t>
        </is>
      </c>
      <c r="G234" t="inlineStr">
        <is>
          <t>ANEBY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46098</v>
      </c>
      <c r="E235" s="1" t="n">
        <v>46234</v>
      </c>
      <c r="F235" t="inlineStr">
        <is>
          <t>JÖNKÖPINGS LÄN</t>
        </is>
      </c>
      <c r="G235" t="inlineStr">
        <is>
          <t>ANEBY</t>
        </is>
      </c>
      <c r="H235" t="inlineStr">
        <is>
          <t>Övriga Aktiebolag</t>
        </is>
      </c>
      <c r="I235" t="n">
        <v>20.7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46234</v>
      </c>
      <c r="F236" t="inlineStr">
        <is>
          <t>JÖNKÖPINGS LÄN</t>
        </is>
      </c>
      <c r="G236" t="inlineStr">
        <is>
          <t>ANEBY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46234</v>
      </c>
      <c r="F237" t="inlineStr">
        <is>
          <t>JÖNKÖPINGS LÄN</t>
        </is>
      </c>
      <c r="G237" t="inlineStr">
        <is>
          <t>ANEBY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46234</v>
      </c>
      <c r="F238" t="inlineStr">
        <is>
          <t>JÖNKÖPINGS LÄN</t>
        </is>
      </c>
      <c r="G238" t="inlineStr">
        <is>
          <t>ANEBY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46234</v>
      </c>
      <c r="F239" t="inlineStr">
        <is>
          <t>JÖNKÖPINGS LÄN</t>
        </is>
      </c>
      <c r="G239" t="inlineStr">
        <is>
          <t>ANEBY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46104</v>
      </c>
      <c r="E240" s="1" t="n">
        <v>46234</v>
      </c>
      <c r="F240" t="inlineStr">
        <is>
          <t>JÖNKÖPINGS LÄN</t>
        </is>
      </c>
      <c r="G240" t="inlineStr">
        <is>
          <t>ANEBY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46234</v>
      </c>
      <c r="F241" t="inlineStr">
        <is>
          <t>JÖNKÖPINGS LÄN</t>
        </is>
      </c>
      <c r="G241" t="inlineStr">
        <is>
          <t>ANEBY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46234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46234</v>
      </c>
      <c r="F243" t="inlineStr">
        <is>
          <t>JÖNKÖPINGS LÄN</t>
        </is>
      </c>
      <c r="G243" t="inlineStr">
        <is>
          <t>ANEBY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46234</v>
      </c>
      <c r="F244" t="inlineStr">
        <is>
          <t>JÖNKÖPINGS LÄN</t>
        </is>
      </c>
      <c r="G244" t="inlineStr">
        <is>
          <t>ANEBY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46234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23557-2022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44721</v>
      </c>
      <c r="E246" s="1" t="n">
        <v>46234</v>
      </c>
      <c r="F246" t="inlineStr">
        <is>
          <t>JÖNKÖPINGS LÄN</t>
        </is>
      </c>
      <c r="G246" t="inlineStr">
        <is>
          <t>ANEBY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54213-2024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45616</v>
      </c>
      <c r="E247" s="1" t="n">
        <v>46234</v>
      </c>
      <c r="F247" t="inlineStr">
        <is>
          <t>JÖNKÖPINGS LÄN</t>
        </is>
      </c>
      <c r="G247" t="inlineStr">
        <is>
          <t>ANEBY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46234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46234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46234</v>
      </c>
      <c r="F250" t="inlineStr">
        <is>
          <t>JÖNKÖPINGS LÄN</t>
        </is>
      </c>
      <c r="G250" t="inlineStr">
        <is>
          <t>ANEBY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46234</v>
      </c>
      <c r="F251" t="inlineStr">
        <is>
          <t>JÖNKÖPINGS LÄN</t>
        </is>
      </c>
      <c r="G251" t="inlineStr">
        <is>
          <t>ANEBY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46234</v>
      </c>
      <c r="F252" t="inlineStr">
        <is>
          <t>JÖNKÖPINGS LÄN</t>
        </is>
      </c>
      <c r="G252" t="inlineStr">
        <is>
          <t>ANEBY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46234</v>
      </c>
      <c r="F253" t="inlineStr">
        <is>
          <t>JÖNKÖPINGS LÄN</t>
        </is>
      </c>
      <c r="G253" t="inlineStr">
        <is>
          <t>ANEBY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43613-2023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45184</v>
      </c>
      <c r="E254" s="1" t="n">
        <v>46234</v>
      </c>
      <c r="F254" t="inlineStr">
        <is>
          <t>JÖNKÖPINGS LÄN</t>
        </is>
      </c>
      <c r="G254" t="inlineStr">
        <is>
          <t>ANEBY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12477-2023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44999</v>
      </c>
      <c r="E255" s="1" t="n">
        <v>46234</v>
      </c>
      <c r="F255" t="inlineStr">
        <is>
          <t>JÖNKÖPINGS LÄN</t>
        </is>
      </c>
      <c r="G255" t="inlineStr">
        <is>
          <t>ANEBY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46234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45665</v>
      </c>
      <c r="E257" s="1" t="n">
        <v>46234</v>
      </c>
      <c r="F257" t="inlineStr">
        <is>
          <t>JÖNKÖPINGS LÄN</t>
        </is>
      </c>
      <c r="G257" t="inlineStr">
        <is>
          <t>ANEBY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41144-2021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44423</v>
      </c>
      <c r="E258" s="1" t="n">
        <v>46234</v>
      </c>
      <c r="F258" t="inlineStr">
        <is>
          <t>JÖNKÖPINGS LÄN</t>
        </is>
      </c>
      <c r="G258" t="inlineStr">
        <is>
          <t>ANEBY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44957</v>
      </c>
      <c r="E259" s="1" t="n">
        <v>46234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45275</v>
      </c>
      <c r="E260" s="1" t="n">
        <v>46234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45343</v>
      </c>
      <c r="E261" s="1" t="n">
        <v>46234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45304</v>
      </c>
      <c r="E262" s="1" t="n">
        <v>46234</v>
      </c>
      <c r="F262" t="inlineStr">
        <is>
          <t>JÖNKÖPINGS LÄN</t>
        </is>
      </c>
      <c r="G262" t="inlineStr">
        <is>
          <t>ANEBY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44578</v>
      </c>
      <c r="E263" s="1" t="n">
        <v>46234</v>
      </c>
      <c r="F263" t="inlineStr">
        <is>
          <t>JÖNKÖPINGS LÄN</t>
        </is>
      </c>
      <c r="G263" t="inlineStr">
        <is>
          <t>ANEBY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46234</v>
      </c>
      <c r="F264" t="inlineStr">
        <is>
          <t>JÖNKÖPINGS LÄN</t>
        </is>
      </c>
      <c r="G264" t="inlineStr">
        <is>
          <t>ANEBY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46234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45593</v>
      </c>
      <c r="E266" s="1" t="n">
        <v>46234</v>
      </c>
      <c r="F266" t="inlineStr">
        <is>
          <t>JÖNKÖPINGS LÄN</t>
        </is>
      </c>
      <c r="G266" t="inlineStr">
        <is>
          <t>ANEBY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56333-2022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46234</v>
      </c>
      <c r="F267" t="inlineStr">
        <is>
          <t>JÖNKÖPINGS LÄN</t>
        </is>
      </c>
      <c r="G267" t="inlineStr">
        <is>
          <t>ANEBY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46234</v>
      </c>
      <c r="F268" t="inlineStr">
        <is>
          <t>JÖNKÖPINGS LÄN</t>
        </is>
      </c>
      <c r="G268" t="inlineStr">
        <is>
          <t>ANEBY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46234</v>
      </c>
      <c r="F269" t="inlineStr">
        <is>
          <t>JÖNKÖPINGS LÄN</t>
        </is>
      </c>
      <c r="G269" t="inlineStr">
        <is>
          <t>ANEBY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10155-2024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45364</v>
      </c>
      <c r="E270" s="1" t="n">
        <v>46234</v>
      </c>
      <c r="F270" t="inlineStr">
        <is>
          <t>JÖNKÖPINGS LÄN</t>
        </is>
      </c>
      <c r="G270" t="inlineStr">
        <is>
          <t>ANEBY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45393</v>
      </c>
      <c r="E271" s="1" t="n">
        <v>46234</v>
      </c>
      <c r="F271" t="inlineStr">
        <is>
          <t>JÖNKÖPINGS LÄN</t>
        </is>
      </c>
      <c r="G271" t="inlineStr">
        <is>
          <t>ANEBY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44859</v>
      </c>
      <c r="E272" s="1" t="n">
        <v>46234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46234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44851</v>
      </c>
      <c r="E274" s="1" t="n">
        <v>46234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46234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44620</v>
      </c>
      <c r="E276" s="1" t="n">
        <v>46234</v>
      </c>
      <c r="F276" t="inlineStr">
        <is>
          <t>JÖNKÖPINGS LÄN</t>
        </is>
      </c>
      <c r="G276" t="inlineStr">
        <is>
          <t>ANEBY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10456-2023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44981</v>
      </c>
      <c r="E277" s="1" t="n">
        <v>46234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12533-2024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46234</v>
      </c>
      <c r="F278" t="inlineStr">
        <is>
          <t>JÖNKÖPINGS LÄN</t>
        </is>
      </c>
      <c r="G278" t="inlineStr">
        <is>
          <t>ANEBY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46234</v>
      </c>
      <c r="F279" t="inlineStr">
        <is>
          <t>JÖNKÖPINGS LÄN</t>
        </is>
      </c>
      <c r="G279" t="inlineStr">
        <is>
          <t>ANEBY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45126</v>
      </c>
      <c r="E280" s="1" t="n">
        <v>46234</v>
      </c>
      <c r="F280" t="inlineStr">
        <is>
          <t>JÖNKÖPINGS LÄN</t>
        </is>
      </c>
      <c r="G280" t="inlineStr">
        <is>
          <t>ANEBY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51185-2021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44461</v>
      </c>
      <c r="E281" s="1" t="n">
        <v>46234</v>
      </c>
      <c r="F281" t="inlineStr">
        <is>
          <t>JÖNKÖPINGS LÄN</t>
        </is>
      </c>
      <c r="G281" t="inlineStr">
        <is>
          <t>ANEBY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44671</v>
      </c>
      <c r="E282" s="1" t="n">
        <v>46234</v>
      </c>
      <c r="F282" t="inlineStr">
        <is>
          <t>JÖNKÖPINGS LÄN</t>
        </is>
      </c>
      <c r="G282" t="inlineStr">
        <is>
          <t>ANEBY</t>
        </is>
      </c>
      <c r="H282" t="inlineStr">
        <is>
          <t>Kyrkan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21356-2026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46147</v>
      </c>
      <c r="E283" s="1" t="n">
        <v>46234</v>
      </c>
      <c r="F283" t="inlineStr">
        <is>
          <t>JÖNKÖPINGS LÄN</t>
        </is>
      </c>
      <c r="G283" t="inlineStr">
        <is>
          <t>ANEBY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46234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46234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46234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10357-2024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46234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46234</v>
      </c>
      <c r="F288" t="inlineStr">
        <is>
          <t>JÖNKÖPINGS LÄN</t>
        </is>
      </c>
      <c r="G288" t="inlineStr">
        <is>
          <t>ANEBY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46234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10302-2024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46234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46234</v>
      </c>
      <c r="F291" t="inlineStr">
        <is>
          <t>JÖNKÖPINGS LÄN</t>
        </is>
      </c>
      <c r="G291" t="inlineStr">
        <is>
          <t>ANEBY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46234</v>
      </c>
      <c r="F292" t="inlineStr">
        <is>
          <t>JÖNKÖPINGS LÄN</t>
        </is>
      </c>
      <c r="G292" t="inlineStr">
        <is>
          <t>ANEBY</t>
        </is>
      </c>
      <c r="H292" t="inlineStr">
        <is>
          <t>Kyrkan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46234</v>
      </c>
      <c r="F293" t="inlineStr">
        <is>
          <t>JÖNKÖPINGS LÄN</t>
        </is>
      </c>
      <c r="G293" t="inlineStr">
        <is>
          <t>ANEBY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67414-2021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46234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45033</v>
      </c>
      <c r="E295" s="1" t="n">
        <v>46234</v>
      </c>
      <c r="F295" t="inlineStr">
        <is>
          <t>JÖNKÖPINGS LÄN</t>
        </is>
      </c>
      <c r="G295" t="inlineStr">
        <is>
          <t>ANEBY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28232-2026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46234</v>
      </c>
      <c r="F296" t="inlineStr">
        <is>
          <t>JÖNKÖPINGS LÄN</t>
        </is>
      </c>
      <c r="G296" t="inlineStr">
        <is>
          <t>ANEBY</t>
        </is>
      </c>
      <c r="H296" t="inlineStr">
        <is>
          <t>Kyrkan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59507-2022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44900</v>
      </c>
      <c r="E297" s="1" t="n">
        <v>46234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23354-2023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45076</v>
      </c>
      <c r="E298" s="1" t="n">
        <v>46234</v>
      </c>
      <c r="F298" t="inlineStr">
        <is>
          <t>JÖNKÖPINGS LÄN</t>
        </is>
      </c>
      <c r="G298" t="inlineStr">
        <is>
          <t>ANEBY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46234</v>
      </c>
      <c r="F299" t="inlineStr">
        <is>
          <t>JÖNKÖPINGS LÄN</t>
        </is>
      </c>
      <c r="G299" t="inlineStr">
        <is>
          <t>ANEBY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37343-2023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45156</v>
      </c>
      <c r="E300" s="1" t="n">
        <v>46234</v>
      </c>
      <c r="F300" t="inlineStr">
        <is>
          <t>JÖNKÖPINGS LÄN</t>
        </is>
      </c>
      <c r="G300" t="inlineStr">
        <is>
          <t>ANEBY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45363</v>
      </c>
      <c r="E301" s="1" t="n">
        <v>46234</v>
      </c>
      <c r="F301" t="inlineStr">
        <is>
          <t>JÖNKÖPINGS LÄN</t>
        </is>
      </c>
      <c r="G301" t="inlineStr">
        <is>
          <t>ANEBY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45077</v>
      </c>
      <c r="E302" s="1" t="n">
        <v>46234</v>
      </c>
      <c r="F302" t="inlineStr">
        <is>
          <t>JÖNKÖPINGS LÄN</t>
        </is>
      </c>
      <c r="G302" t="inlineStr">
        <is>
          <t>ANEBY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46234</v>
      </c>
      <c r="F303" t="inlineStr">
        <is>
          <t>JÖNKÖPINGS LÄN</t>
        </is>
      </c>
      <c r="G303" t="inlineStr">
        <is>
          <t>ANEBY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46234</v>
      </c>
      <c r="F304" t="inlineStr">
        <is>
          <t>JÖNKÖPINGS LÄN</t>
        </is>
      </c>
      <c r="G304" t="inlineStr">
        <is>
          <t>ANEBY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38794-2023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45161</v>
      </c>
      <c r="E305" s="1" t="n">
        <v>46234</v>
      </c>
      <c r="F305" t="inlineStr">
        <is>
          <t>JÖNKÖPINGS LÄN</t>
        </is>
      </c>
      <c r="G305" t="inlineStr">
        <is>
          <t>ANEBY</t>
        </is>
      </c>
      <c r="H305" t="inlineStr">
        <is>
          <t>Övriga Aktiebolag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46234</v>
      </c>
      <c r="F306" t="inlineStr">
        <is>
          <t>JÖNKÖPINGS LÄN</t>
        </is>
      </c>
      <c r="G306" t="inlineStr">
        <is>
          <t>ANEBY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46234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46234</v>
      </c>
      <c r="F308" t="inlineStr">
        <is>
          <t>JÖNKÖPINGS LÄN</t>
        </is>
      </c>
      <c r="G308" t="inlineStr">
        <is>
          <t>ANEBY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46234</v>
      </c>
      <c r="F309" t="inlineStr">
        <is>
          <t>JÖNKÖPINGS LÄN</t>
        </is>
      </c>
      <c r="G309" t="inlineStr">
        <is>
          <t>ANEBY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45016</v>
      </c>
      <c r="E310" s="1" t="n">
        <v>46234</v>
      </c>
      <c r="F310" t="inlineStr">
        <is>
          <t>JÖNKÖPINGS LÄN</t>
        </is>
      </c>
      <c r="G310" t="inlineStr">
        <is>
          <t>ANEBY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44978</v>
      </c>
      <c r="E311" s="1" t="n">
        <v>46234</v>
      </c>
      <c r="F311" t="inlineStr">
        <is>
          <t>JÖNKÖPINGS LÄN</t>
        </is>
      </c>
      <c r="G311" t="inlineStr">
        <is>
          <t>ANEBY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46234</v>
      </c>
      <c r="F312" t="inlineStr">
        <is>
          <t>JÖNKÖPINGS LÄN</t>
        </is>
      </c>
      <c r="G312" t="inlineStr">
        <is>
          <t>ANEBY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46234</v>
      </c>
      <c r="F313" t="inlineStr">
        <is>
          <t>JÖNKÖPINGS LÄN</t>
        </is>
      </c>
      <c r="G313" t="inlineStr">
        <is>
          <t>ANEBY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45378</v>
      </c>
      <c r="E314" s="1" t="n">
        <v>46234</v>
      </c>
      <c r="F314" t="inlineStr">
        <is>
          <t>JÖNKÖPINGS LÄN</t>
        </is>
      </c>
      <c r="G314" t="inlineStr">
        <is>
          <t>ANEBY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44994</v>
      </c>
      <c r="E315" s="1" t="n">
        <v>46234</v>
      </c>
      <c r="F315" t="inlineStr">
        <is>
          <t>JÖNKÖPINGS LÄN</t>
        </is>
      </c>
      <c r="G315" t="inlineStr">
        <is>
          <t>ANEBY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46234</v>
      </c>
      <c r="F316" t="inlineStr">
        <is>
          <t>JÖNKÖPINGS LÄN</t>
        </is>
      </c>
      <c r="G316" t="inlineStr">
        <is>
          <t>ANEBY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45184</v>
      </c>
      <c r="E317" s="1" t="n">
        <v>46234</v>
      </c>
      <c r="F317" t="inlineStr">
        <is>
          <t>JÖNKÖPINGS LÄN</t>
        </is>
      </c>
      <c r="G317" t="inlineStr">
        <is>
          <t>ANEBY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44957</v>
      </c>
      <c r="E318" s="1" t="n">
        <v>46234</v>
      </c>
      <c r="F318" t="inlineStr">
        <is>
          <t>JÖNKÖPINGS LÄN</t>
        </is>
      </c>
      <c r="G318" t="inlineStr">
        <is>
          <t>ANEBY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46234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46234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46234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46234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46234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46234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51160-2021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44461</v>
      </c>
      <c r="E325" s="1" t="n">
        <v>46234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46234</v>
      </c>
      <c r="F326" t="inlineStr">
        <is>
          <t>JÖNKÖPINGS LÄN</t>
        </is>
      </c>
      <c r="G326" t="inlineStr">
        <is>
          <t>ANEBY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46234</v>
      </c>
      <c r="F327" t="inlineStr">
        <is>
          <t>JÖNKÖPINGS LÄN</t>
        </is>
      </c>
      <c r="G327" t="inlineStr">
        <is>
          <t>ANEBY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46214</v>
      </c>
      <c r="E328" s="1" t="n">
        <v>46234</v>
      </c>
      <c r="F328" t="inlineStr">
        <is>
          <t>JÖNKÖPINGS LÄN</t>
        </is>
      </c>
      <c r="G328" t="inlineStr">
        <is>
          <t>ANEBY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46214</v>
      </c>
      <c r="E329" s="1" t="n">
        <v>46234</v>
      </c>
      <c r="F329" t="inlineStr">
        <is>
          <t>JÖNKÖPINGS LÄN</t>
        </is>
      </c>
      <c r="G329" t="inlineStr">
        <is>
          <t>ANEBY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46214</v>
      </c>
      <c r="E330" s="1" t="n">
        <v>46234</v>
      </c>
      <c r="F330" t="inlineStr">
        <is>
          <t>JÖNKÖPINGS LÄN</t>
        </is>
      </c>
      <c r="G330" t="inlineStr">
        <is>
          <t>ANEBY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46234</v>
      </c>
      <c r="F331" t="inlineStr">
        <is>
          <t>JÖNKÖPINGS LÄN</t>
        </is>
      </c>
      <c r="G331" t="inlineStr">
        <is>
          <t>ANEBY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44461</v>
      </c>
      <c r="E332" s="1" t="n">
        <v>46234</v>
      </c>
      <c r="F332" t="inlineStr">
        <is>
          <t>JÖNKÖPINGS LÄN</t>
        </is>
      </c>
      <c r="G332" t="inlineStr">
        <is>
          <t>ANEBY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46234</v>
      </c>
      <c r="F333" t="inlineStr">
        <is>
          <t>JÖNKÖPINGS LÄN</t>
        </is>
      </c>
      <c r="G333" t="inlineStr">
        <is>
          <t>ANEBY</t>
        </is>
      </c>
      <c r="H333" t="inlineStr">
        <is>
          <t>Sveaskog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46176</v>
      </c>
      <c r="E334" s="1" t="n">
        <v>46234</v>
      </c>
      <c r="F334" t="inlineStr">
        <is>
          <t>JÖNKÖPINGS LÄN</t>
        </is>
      </c>
      <c r="G334" t="inlineStr">
        <is>
          <t>ANEBY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46176</v>
      </c>
      <c r="E335" s="1" t="n">
        <v>46234</v>
      </c>
      <c r="F335" t="inlineStr">
        <is>
          <t>JÖNKÖPINGS LÄN</t>
        </is>
      </c>
      <c r="G335" t="inlineStr">
        <is>
          <t>ANEBY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50069-2024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45600</v>
      </c>
      <c r="E336" s="1" t="n">
        <v>46234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46234</v>
      </c>
      <c r="F337" t="inlineStr">
        <is>
          <t>JÖNKÖPINGS LÄN</t>
        </is>
      </c>
      <c r="G337" t="inlineStr">
        <is>
          <t>ANEBY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44565</v>
      </c>
      <c r="E338" s="1" t="n">
        <v>46234</v>
      </c>
      <c r="F338" t="inlineStr">
        <is>
          <t>JÖNKÖPINGS LÄN</t>
        </is>
      </c>
      <c r="G338" t="inlineStr">
        <is>
          <t>ANEBY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46234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46234</v>
      </c>
      <c r="F340" t="inlineStr">
        <is>
          <t>JÖNKÖPINGS LÄN</t>
        </is>
      </c>
      <c r="G340" t="inlineStr">
        <is>
          <t>ANEBY</t>
        </is>
      </c>
      <c r="H340" t="inlineStr">
        <is>
          <t>Övriga Aktiebolag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46234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46224</v>
      </c>
      <c r="E342" s="1" t="n">
        <v>46234</v>
      </c>
      <c r="F342" t="inlineStr">
        <is>
          <t>JÖNKÖPINGS LÄN</t>
        </is>
      </c>
      <c r="G342" t="inlineStr">
        <is>
          <t>ANEBY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46184</v>
      </c>
      <c r="E343" s="1" t="n">
        <v>46234</v>
      </c>
      <c r="F343" t="inlineStr">
        <is>
          <t>JÖNKÖPINGS LÄN</t>
        </is>
      </c>
      <c r="G343" t="inlineStr">
        <is>
          <t>ANEBY</t>
        </is>
      </c>
      <c r="I343" t="n">
        <v>17.9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46234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46234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5767-2022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44848</v>
      </c>
      <c r="E346" s="1" t="n">
        <v>46234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6633-2022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46234</v>
      </c>
      <c r="F347" t="inlineStr">
        <is>
          <t>JÖNKÖPINGS LÄN</t>
        </is>
      </c>
      <c r="G347" t="inlineStr">
        <is>
          <t>ANEBY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1677-2023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45063</v>
      </c>
      <c r="E348" s="1" t="n">
        <v>46234</v>
      </c>
      <c r="F348" t="inlineStr">
        <is>
          <t>JÖNKÖPINGS LÄN</t>
        </is>
      </c>
      <c r="G348" t="inlineStr">
        <is>
          <t>ANEBY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7492-2021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44475</v>
      </c>
      <c r="E349" s="1" t="n">
        <v>46234</v>
      </c>
      <c r="F349" t="inlineStr">
        <is>
          <t>JÖNKÖPINGS LÄN</t>
        </is>
      </c>
      <c r="G349" t="inlineStr">
        <is>
          <t>ANEBY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3586-2024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45546</v>
      </c>
      <c r="E350" s="1" t="n">
        <v>46234</v>
      </c>
      <c r="F350" t="inlineStr">
        <is>
          <t>JÖNKÖPINGS LÄN</t>
        </is>
      </c>
      <c r="G350" t="inlineStr">
        <is>
          <t>ANEBY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6631-2022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46234</v>
      </c>
      <c r="F351" t="inlineStr">
        <is>
          <t>JÖNKÖPINGS LÄN</t>
        </is>
      </c>
      <c r="G351" t="inlineStr">
        <is>
          <t>ANEBY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1729-2023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45069</v>
      </c>
      <c r="E352" s="1" t="n">
        <v>46234</v>
      </c>
      <c r="F352" t="inlineStr">
        <is>
          <t>JÖNKÖPINGS LÄN</t>
        </is>
      </c>
      <c r="G352" t="inlineStr">
        <is>
          <t>ANEBY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2550-2023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45135</v>
      </c>
      <c r="E353" s="1" t="n">
        <v>46234</v>
      </c>
      <c r="F353" t="inlineStr">
        <is>
          <t>JÖNKÖPINGS LÄN</t>
        </is>
      </c>
      <c r="G353" t="inlineStr">
        <is>
          <t>ANEBY</t>
        </is>
      </c>
      <c r="I353" t="n">
        <v>58.3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805-2022</t>
        </is>
      </c>
      <c r="B354" t="inlineStr">
        <is>
          <t>samrådsanmälan</t>
        </is>
      </c>
      <c r="C354" t="inlineStr">
        <is>
          <t>Skogsbilväg</t>
        </is>
      </c>
      <c r="D354" s="1" t="n">
        <v>44603</v>
      </c>
      <c r="E354" s="1" t="n">
        <v>46234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46234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46234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46234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46234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46234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2026-07-31T01:55:08Z</dcterms:created>
  <dcterms:modified xmlns:dcterms="http://purl.org/dc/terms/" xmlns:xsi="http://www.w3.org/2001/XMLSchema-instance" xsi:type="dcterms:W3CDTF">2026-07-31T01:55:09Z</dcterms:modified>
</cp:coreProperties>
</file>