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46229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46229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46229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46229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46229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46229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46229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46229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60716-2025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45996</v>
      </c>
      <c r="E14" s="1" t="n">
        <v>46229</v>
      </c>
      <c r="F14" t="inlineStr">
        <is>
          <t>JÖNKÖPINGS LÄN</t>
        </is>
      </c>
      <c r="G14" t="inlineStr">
        <is>
          <t>ANEBY</t>
        </is>
      </c>
      <c r="I14" t="n">
        <v>4.8</v>
      </c>
      <c r="J14" t="n">
        <v>1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Knärot
Brandticka
Bronshjon
Vågbandad barkbock</t>
        </is>
      </c>
      <c r="W14">
        <f>HYPERLINK("https://klasma.github.io/Logging_0604/artfynd/A 60716-2025 artfynd.xlsx", "A 60716-2025")</f>
        <v/>
      </c>
      <c r="X14">
        <f>HYPERLINK("https://klasma.github.io/Logging_0604/kartor/A 60716-2025 karta.png", "A 60716-2025")</f>
        <v/>
      </c>
      <c r="Y14">
        <f>HYPERLINK("https://klasma.github.io/Logging_0604/kartor_geotiff/A 60716-2025 georefererad karta.tif", "A 60716-2025")</f>
        <v/>
      </c>
      <c r="Z14">
        <f>HYPERLINK("https://klasma.github.io/Logging_0604/knärot/A 60716-2025 karta knärot.png", "A 60716-2025")</f>
        <v/>
      </c>
      <c r="AA14">
        <f>HYPERLINK("https://klasma.github.io/Logging_0604/klagomål/A 60716-2025 FSC-klagomål.docx", "A 60716-2025")</f>
        <v/>
      </c>
      <c r="AB14">
        <f>HYPERLINK("https://klasma.github.io/Logging_0604/klagomålsmail/A 60716-2025 FSC-klagomål mail.docx", "A 60716-2025")</f>
        <v/>
      </c>
      <c r="AC14">
        <f>HYPERLINK("https://klasma.github.io/Logging_0604/tillsyn/A 60716-2025 tillsynsbegäran.docx", "A 60716-2025")</f>
        <v/>
      </c>
      <c r="AD14">
        <f>HYPERLINK("https://klasma.github.io/Logging_0604/tillsynsmail/A 60716-2025 tillsynsbegäran mail.docx", "A 60716-2025")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46229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46229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46229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46229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46229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46229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46229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46229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46229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46229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46229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46229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25875-2024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45467</v>
      </c>
      <c r="E27" s="1" t="n">
        <v>46229</v>
      </c>
      <c r="F27" t="inlineStr">
        <is>
          <t>JÖNKÖPINGS LÄN</t>
        </is>
      </c>
      <c r="G27" t="inlineStr">
        <is>
          <t>ANEBY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HYPERLINK("https://klasma.github.io/Logging_0604/artfynd/A 25875-2024 artfynd.xlsx", "A 25875-2024")</f>
        <v/>
      </c>
      <c r="X27">
        <f>HYPERLINK("https://klasma.github.io/Logging_0604/kartor/A 25875-2024 karta.png", "A 25875-2024")</f>
        <v/>
      </c>
      <c r="Y27">
        <f>HYPERLINK("https://klasma.github.io/Logging_0604/kartor_geotiff/A 25875-2024 georefererad karta.tif", "A 25875-2024")</f>
        <v/>
      </c>
      <c r="AA27">
        <f>HYPERLINK("https://klasma.github.io/Logging_0604/klagomål/A 25875-2024 FSC-klagomål.docx", "A 25875-2024")</f>
        <v/>
      </c>
      <c r="AB27">
        <f>HYPERLINK("https://klasma.github.io/Logging_0604/klagomålsmail/A 25875-2024 FSC-klagomål mail.docx", "A 25875-2024")</f>
        <v/>
      </c>
      <c r="AC27">
        <f>HYPERLINK("https://klasma.github.io/Logging_0604/tillsyn/A 25875-2024 tillsynsbegäran.docx", "A 25875-2024")</f>
        <v/>
      </c>
      <c r="AD27">
        <f>HYPERLINK("https://klasma.github.io/Logging_0604/tillsynsmail/A 25875-2024 tillsynsbegäran mail.docx", "A 25875-2024")</f>
        <v/>
      </c>
    </row>
    <row r="28" ht="15" customHeight="1">
      <c r="A28" t="inlineStr">
        <is>
          <t>A 8117-2025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45707</v>
      </c>
      <c r="E28" s="1" t="n">
        <v>46229</v>
      </c>
      <c r="F28" t="inlineStr">
        <is>
          <t>JÖNKÖPINGS LÄN</t>
        </is>
      </c>
      <c r="G28" t="inlineStr">
        <is>
          <t>ANEBY</t>
        </is>
      </c>
      <c r="I28" t="n">
        <v>2.3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Enkelbeckasin</t>
        </is>
      </c>
      <c r="W28">
        <f>HYPERLINK("https://klasma.github.io/Logging_0604/artfynd/A 8117-2025 artfynd.xlsx", "A 8117-2025")</f>
        <v/>
      </c>
      <c r="X28">
        <f>HYPERLINK("https://klasma.github.io/Logging_0604/kartor/A 8117-2025 karta.png", "A 8117-2025")</f>
        <v/>
      </c>
      <c r="Y28">
        <f>HYPERLINK("https://klasma.github.io/Logging_0604/kartor_geotiff/A 8117-2025 georefererad karta.tif", "A 8117-2025")</f>
        <v/>
      </c>
      <c r="AA28">
        <f>HYPERLINK("https://klasma.github.io/Logging_0604/klagomål/A 8117-2025 FSC-klagomål.docx", "A 8117-2025")</f>
        <v/>
      </c>
      <c r="AB28">
        <f>HYPERLINK("https://klasma.github.io/Logging_0604/klagomålsmail/A 8117-2025 FSC-klagomål mail.docx", "A 8117-2025")</f>
        <v/>
      </c>
      <c r="AC28">
        <f>HYPERLINK("https://klasma.github.io/Logging_0604/tillsyn/A 8117-2025 tillsynsbegäran.docx", "A 8117-2025")</f>
        <v/>
      </c>
      <c r="AD28">
        <f>HYPERLINK("https://klasma.github.io/Logging_0604/tillsynsmail/A 8117-2025 tillsynsbegäran mail.docx", "A 8117-2025")</f>
        <v/>
      </c>
      <c r="AE28">
        <f>HYPERLINK("https://klasma.github.io/Logging_0604/fåglar/A 8117-2025 prioriterade fågelarter.docx", "A 8117-2025")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46229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10358-2024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45365</v>
      </c>
      <c r="E30" s="1" t="n">
        <v>46229</v>
      </c>
      <c r="F30" t="inlineStr">
        <is>
          <t>JÖNKÖPINGS LÄN</t>
        </is>
      </c>
      <c r="G30" t="inlineStr">
        <is>
          <t>ANEBY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HYPERLINK("https://klasma.github.io/Logging_0604/artfynd/A 10358-2024 artfynd.xlsx", "A 10358-2024")</f>
        <v/>
      </c>
      <c r="X30">
        <f>HYPERLINK("https://klasma.github.io/Logging_0604/kartor/A 10358-2024 karta.png", "A 10358-2024")</f>
        <v/>
      </c>
      <c r="Y30">
        <f>HYPERLINK("https://klasma.github.io/Logging_0604/kartor_geotiff/A 10358-2024 georefererad karta.tif", "A 10358-2024")</f>
        <v/>
      </c>
      <c r="AA30">
        <f>HYPERLINK("https://klasma.github.io/Logging_0604/klagomål/A 10358-2024 FSC-klagomål.docx", "A 10358-2024")</f>
        <v/>
      </c>
      <c r="AB30">
        <f>HYPERLINK("https://klasma.github.io/Logging_0604/klagomålsmail/A 10358-2024 FSC-klagomål mail.docx", "A 10358-2024")</f>
        <v/>
      </c>
      <c r="AC30">
        <f>HYPERLINK("https://klasma.github.io/Logging_0604/tillsyn/A 10358-2024 tillsynsbegäran.docx", "A 10358-2024")</f>
        <v/>
      </c>
      <c r="AD30">
        <f>HYPERLINK("https://klasma.github.io/Logging_0604/tillsynsmail/A 10358-2024 tillsynsbegäran mail.docx", "A 10358-2024")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46229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10010-2023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44985</v>
      </c>
      <c r="E32" s="1" t="n">
        <v>46229</v>
      </c>
      <c r="F32" t="inlineStr">
        <is>
          <t>JÖNKÖPINGS LÄN</t>
        </is>
      </c>
      <c r="G32" t="inlineStr">
        <is>
          <t>ANEBY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HYPERLINK("https://klasma.github.io/Logging_0604/artfynd/A 10010-2023 artfynd.xlsx", "A 10010-2023")</f>
        <v/>
      </c>
      <c r="X32">
        <f>HYPERLINK("https://klasma.github.io/Logging_0604/kartor/A 10010-2023 karta.png", "A 10010-2023")</f>
        <v/>
      </c>
      <c r="Y32">
        <f>HYPERLINK("https://klasma.github.io/Logging_0604/kartor_geotiff/A 10010-2023 georefererad karta.tif", "A 10010-2023")</f>
        <v/>
      </c>
      <c r="AA32">
        <f>HYPERLINK("https://klasma.github.io/Logging_0604/klagomål/A 10010-2023 FSC-klagomål.docx", "A 10010-2023")</f>
        <v/>
      </c>
      <c r="AB32">
        <f>HYPERLINK("https://klasma.github.io/Logging_0604/klagomålsmail/A 10010-2023 FSC-klagomål mail.docx", "A 10010-2023")</f>
        <v/>
      </c>
      <c r="AC32">
        <f>HYPERLINK("https://klasma.github.io/Logging_0604/tillsyn/A 10010-2023 tillsynsbegäran.docx", "A 10010-2023")</f>
        <v/>
      </c>
      <c r="AD32">
        <f>HYPERLINK("https://klasma.github.io/Logging_0604/tillsynsmail/A 10010-2023 tillsynsbegäran mail.docx", "A 10010-2023")</f>
        <v/>
      </c>
    </row>
    <row r="33" ht="15" customHeight="1">
      <c r="A33" t="inlineStr">
        <is>
          <t>A 26784-2022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44740</v>
      </c>
      <c r="E33" s="1" t="n">
        <v>46229</v>
      </c>
      <c r="F33" t="inlineStr">
        <is>
          <t>JÖNKÖPINGS LÄN</t>
        </is>
      </c>
      <c r="G33" t="inlineStr">
        <is>
          <t>ANEBY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Vårstarr</t>
        </is>
      </c>
      <c r="W33">
        <f>HYPERLINK("https://klasma.github.io/Logging_0604/artfynd/A 26784-2022 artfynd.xlsx", "A 26784-2022")</f>
        <v/>
      </c>
      <c r="X33">
        <f>HYPERLINK("https://klasma.github.io/Logging_0604/kartor/A 26784-2022 karta.png", "A 26784-2022")</f>
        <v/>
      </c>
      <c r="Y33">
        <f>HYPERLINK("https://klasma.github.io/Logging_0604/kartor_geotiff/A 26784-2022 georefererad karta.tif", "A 26784-2022")</f>
        <v/>
      </c>
      <c r="AA33">
        <f>HYPERLINK("https://klasma.github.io/Logging_0604/klagomål/A 26784-2022 FSC-klagomål.docx", "A 26784-2022")</f>
        <v/>
      </c>
      <c r="AB33">
        <f>HYPERLINK("https://klasma.github.io/Logging_0604/klagomålsmail/A 26784-2022 FSC-klagomål mail.docx", "A 26784-2022")</f>
        <v/>
      </c>
      <c r="AC33">
        <f>HYPERLINK("https://klasma.github.io/Logging_0604/tillsyn/A 26784-2022 tillsynsbegäran.docx", "A 26784-2022")</f>
        <v/>
      </c>
      <c r="AD33">
        <f>HYPERLINK("https://klasma.github.io/Logging_0604/tillsynsmail/A 26784-2022 tillsynsbegäran mail.docx", "A 26784-2022")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46229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46229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46229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38338-2023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46229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HYPERLINK("https://klasma.github.io/Logging_0604/artfynd/A 38338-2023 artfynd.xlsx", "A 38338-2023")</f>
        <v/>
      </c>
      <c r="X37">
        <f>HYPERLINK("https://klasma.github.io/Logging_0604/kartor/A 38338-2023 karta.png", "A 38338-2023")</f>
        <v/>
      </c>
      <c r="Y37">
        <f>HYPERLINK("https://klasma.github.io/Logging_0604/kartor_geotiff/A 38338-2023 georefererad karta.tif", "A 38338-2023")</f>
        <v/>
      </c>
      <c r="AA37">
        <f>HYPERLINK("https://klasma.github.io/Logging_0604/klagomål/A 38338-2023 FSC-klagomål.docx", "A 38338-2023")</f>
        <v/>
      </c>
      <c r="AB37">
        <f>HYPERLINK("https://klasma.github.io/Logging_0604/klagomålsmail/A 38338-2023 FSC-klagomål mail.docx", "A 38338-2023")</f>
        <v/>
      </c>
      <c r="AC37">
        <f>HYPERLINK("https://klasma.github.io/Logging_0604/tillsyn/A 38338-2023 tillsynsbegäran.docx", "A 38338-2023")</f>
        <v/>
      </c>
      <c r="AD37">
        <f>HYPERLINK("https://klasma.github.io/Logging_0604/tillsynsmail/A 38338-2023 tillsynsbegäran mail.docx", "A 38338-2023")</f>
        <v/>
      </c>
    </row>
    <row r="38" ht="15" customHeight="1">
      <c r="A38" t="inlineStr">
        <is>
          <t>A 53251-2023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46229</v>
      </c>
      <c r="F38" t="inlineStr">
        <is>
          <t>JÖNKÖPINGS LÄN</t>
        </is>
      </c>
      <c r="G38" t="inlineStr">
        <is>
          <t>ANEBY</t>
        </is>
      </c>
      <c r="I38" t="n">
        <v>2.2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HYPERLINK("https://klasma.github.io/Logging_0604/artfynd/A 53251-2023 artfynd.xlsx", "A 53251-2023")</f>
        <v/>
      </c>
      <c r="X38">
        <f>HYPERLINK("https://klasma.github.io/Logging_0604/kartor/A 53251-2023 karta.png", "A 53251-2023")</f>
        <v/>
      </c>
      <c r="Y38">
        <f>HYPERLINK("https://klasma.github.io/Logging_0604/kartor_geotiff/A 53251-2023 georefererad karta.tif", "A 53251-2023")</f>
        <v/>
      </c>
      <c r="AA38">
        <f>HYPERLINK("https://klasma.github.io/Logging_0604/klagomål/A 53251-2023 FSC-klagomål.docx", "A 53251-2023")</f>
        <v/>
      </c>
      <c r="AB38">
        <f>HYPERLINK("https://klasma.github.io/Logging_0604/klagomålsmail/A 53251-2023 FSC-klagomål mail.docx", "A 53251-2023")</f>
        <v/>
      </c>
      <c r="AC38">
        <f>HYPERLINK("https://klasma.github.io/Logging_0604/tillsyn/A 53251-2023 tillsynsbegäran.docx", "A 53251-2023")</f>
        <v/>
      </c>
      <c r="AD38">
        <f>HYPERLINK("https://klasma.github.io/Logging_0604/tillsynsmail/A 53251-2023 tillsynsbegäran mail.docx", "A 53251-2023")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46229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46229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51453-2021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46229</v>
      </c>
      <c r="F41" t="inlineStr">
        <is>
          <t>JÖNKÖPINGS LÄN</t>
        </is>
      </c>
      <c r="G41" t="inlineStr">
        <is>
          <t>ANEBY</t>
        </is>
      </c>
      <c r="H41" t="inlineStr">
        <is>
          <t>Övriga Aktiebolag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Vedtrappmossa</t>
        </is>
      </c>
      <c r="W41">
        <f>HYPERLINK("https://klasma.github.io/Logging_0604/artfynd/A 51453-2021 artfynd.xlsx", "A 51453-2021")</f>
        <v/>
      </c>
      <c r="X41">
        <f>HYPERLINK("https://klasma.github.io/Logging_0604/kartor/A 51453-2021 karta.png", "A 51453-2021")</f>
        <v/>
      </c>
      <c r="Y41">
        <f>HYPERLINK("https://klasma.github.io/Logging_0604/kartor_geotiff/A 51453-2021 georefererad karta.tif", "A 51453-2021")</f>
        <v/>
      </c>
      <c r="AA41">
        <f>HYPERLINK("https://klasma.github.io/Logging_0604/klagomål/A 51453-2021 FSC-klagomål.docx", "A 51453-2021")</f>
        <v/>
      </c>
      <c r="AB41">
        <f>HYPERLINK("https://klasma.github.io/Logging_0604/klagomålsmail/A 51453-2021 FSC-klagomål mail.docx", "A 51453-2021")</f>
        <v/>
      </c>
      <c r="AC41">
        <f>HYPERLINK("https://klasma.github.io/Logging_0604/tillsyn/A 51453-2021 tillsynsbegäran.docx", "A 51453-2021")</f>
        <v/>
      </c>
      <c r="AD41">
        <f>HYPERLINK("https://klasma.github.io/Logging_0604/tillsynsmail/A 51453-2021 tillsynsbegäran mail.docx", "A 51453-2021")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46229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46229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46229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46229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46229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46229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46229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46229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46229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46229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46229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46229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46229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46229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46229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46229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46229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46229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46229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46229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46229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46229</v>
      </c>
      <c r="F63" t="inlineStr">
        <is>
          <t>JÖNKÖPINGS LÄN</t>
        </is>
      </c>
      <c r="G63" t="inlineStr">
        <is>
          <t>ANEBY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46229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46229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46229</v>
      </c>
      <c r="F66" t="inlineStr">
        <is>
          <t>JÖNKÖPINGS LÄN</t>
        </is>
      </c>
      <c r="G66" t="inlineStr">
        <is>
          <t>ANEBY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46229</v>
      </c>
      <c r="F67" t="inlineStr">
        <is>
          <t>JÖNKÖPINGS LÄN</t>
        </is>
      </c>
      <c r="G67" t="inlineStr">
        <is>
          <t>ANEBY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46229</v>
      </c>
      <c r="F68" t="inlineStr">
        <is>
          <t>JÖNKÖPINGS LÄN</t>
        </is>
      </c>
      <c r="G68" t="inlineStr">
        <is>
          <t>ANEBY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46229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46229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46229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46229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46229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46229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44959</v>
      </c>
      <c r="E75" s="1" t="n">
        <v>46229</v>
      </c>
      <c r="F75" t="inlineStr">
        <is>
          <t>JÖNKÖPINGS LÄN</t>
        </is>
      </c>
      <c r="G75" t="inlineStr">
        <is>
          <t>ANEBY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46229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46229</v>
      </c>
      <c r="F77" t="inlineStr">
        <is>
          <t>JÖNKÖPINGS LÄN</t>
        </is>
      </c>
      <c r="G77" t="inlineStr">
        <is>
          <t>ANEBY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46229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46229</v>
      </c>
      <c r="F79" t="inlineStr">
        <is>
          <t>JÖNKÖPINGS LÄN</t>
        </is>
      </c>
      <c r="G79" t="inlineStr">
        <is>
          <t>ANEBY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46229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46229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45359</v>
      </c>
      <c r="E82" s="1" t="n">
        <v>46229</v>
      </c>
      <c r="F82" t="inlineStr">
        <is>
          <t>JÖNKÖPINGS LÄN</t>
        </is>
      </c>
      <c r="G82" t="inlineStr">
        <is>
          <t>ANEBY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46229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46229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46229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46229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16960-2023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45033</v>
      </c>
      <c r="E87" s="1" t="n">
        <v>46229</v>
      </c>
      <c r="F87" t="inlineStr">
        <is>
          <t>JÖNKÖPINGS LÄN</t>
        </is>
      </c>
      <c r="G87" t="inlineStr">
        <is>
          <t>ANEBY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46229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46229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46229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45122</v>
      </c>
      <c r="E91" s="1" t="n">
        <v>46229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46229</v>
      </c>
      <c r="F92" t="inlineStr">
        <is>
          <t>JÖNKÖPINGS LÄN</t>
        </is>
      </c>
      <c r="G92" t="inlineStr">
        <is>
          <t>ANEBY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46229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46229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46229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46229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46229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46229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46229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46229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46229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45653</v>
      </c>
      <c r="E102" s="1" t="n">
        <v>46229</v>
      </c>
      <c r="F102" t="inlineStr">
        <is>
          <t>JÖNKÖPINGS LÄN</t>
        </is>
      </c>
      <c r="G102" t="inlineStr">
        <is>
          <t>ANEBY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46229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46229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46229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46229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46229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45304</v>
      </c>
      <c r="E108" s="1" t="n">
        <v>46229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46229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46229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27714-2024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45475</v>
      </c>
      <c r="E111" s="1" t="n">
        <v>46229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44860</v>
      </c>
      <c r="E112" s="1" t="n">
        <v>46229</v>
      </c>
      <c r="F112" t="inlineStr">
        <is>
          <t>JÖNKÖPINGS LÄN</t>
        </is>
      </c>
      <c r="G112" t="inlineStr">
        <is>
          <t>ANEBY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46229</v>
      </c>
      <c r="F113" t="inlineStr">
        <is>
          <t>JÖNKÖPINGS LÄN</t>
        </is>
      </c>
      <c r="G113" t="inlineStr">
        <is>
          <t>ANEBY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46229</v>
      </c>
      <c r="F114" t="inlineStr">
        <is>
          <t>JÖNKÖPINGS LÄN</t>
        </is>
      </c>
      <c r="G114" t="inlineStr">
        <is>
          <t>ANEBY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46229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46229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57174-2021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44482</v>
      </c>
      <c r="E117" s="1" t="n">
        <v>46229</v>
      </c>
      <c r="F117" t="inlineStr">
        <is>
          <t>JÖNKÖPINGS LÄN</t>
        </is>
      </c>
      <c r="G117" t="inlineStr">
        <is>
          <t>ANEBY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45020</v>
      </c>
      <c r="E118" s="1" t="n">
        <v>46229</v>
      </c>
      <c r="F118" t="inlineStr">
        <is>
          <t>JÖNKÖPINGS LÄN</t>
        </is>
      </c>
      <c r="G118" t="inlineStr">
        <is>
          <t>ANEBY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45330</v>
      </c>
      <c r="E119" s="1" t="n">
        <v>46229</v>
      </c>
      <c r="F119" t="inlineStr">
        <is>
          <t>JÖNKÖPINGS LÄN</t>
        </is>
      </c>
      <c r="G119" t="inlineStr">
        <is>
          <t>ANEBY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45358</v>
      </c>
      <c r="E120" s="1" t="n">
        <v>46229</v>
      </c>
      <c r="F120" t="inlineStr">
        <is>
          <t>JÖNKÖPINGS LÄN</t>
        </is>
      </c>
      <c r="G120" t="inlineStr">
        <is>
          <t>ANEBY</t>
        </is>
      </c>
      <c r="H120" t="inlineStr">
        <is>
          <t>Sveaskog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46229</v>
      </c>
      <c r="F121" t="inlineStr">
        <is>
          <t>JÖNKÖPINGS LÄN</t>
        </is>
      </c>
      <c r="G121" t="inlineStr">
        <is>
          <t>ANEBY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45124</v>
      </c>
      <c r="E122" s="1" t="n">
        <v>46229</v>
      </c>
      <c r="F122" t="inlineStr">
        <is>
          <t>JÖNKÖPINGS LÄN</t>
        </is>
      </c>
      <c r="G122" t="inlineStr">
        <is>
          <t>ANEBY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57170-2021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46229</v>
      </c>
      <c r="F123" t="inlineStr">
        <is>
          <t>JÖNKÖPINGS LÄN</t>
        </is>
      </c>
      <c r="G123" t="inlineStr">
        <is>
          <t>ANEBY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35773-2023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45148</v>
      </c>
      <c r="E124" s="1" t="n">
        <v>46229</v>
      </c>
      <c r="F124" t="inlineStr">
        <is>
          <t>JÖNKÖPINGS LÄN</t>
        </is>
      </c>
      <c r="G124" t="inlineStr">
        <is>
          <t>ANEBY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44481</v>
      </c>
      <c r="E125" s="1" t="n">
        <v>46229</v>
      </c>
      <c r="F125" t="inlineStr">
        <is>
          <t>JÖNKÖPINGS LÄN</t>
        </is>
      </c>
      <c r="G125" t="inlineStr">
        <is>
          <t>ANEBY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45359</v>
      </c>
      <c r="E126" s="1" t="n">
        <v>46229</v>
      </c>
      <c r="F126" t="inlineStr">
        <is>
          <t>JÖNKÖPINGS LÄN</t>
        </is>
      </c>
      <c r="G126" t="inlineStr">
        <is>
          <t>ANEBY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9068-2024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46229</v>
      </c>
      <c r="F127" t="inlineStr">
        <is>
          <t>JÖNKÖPINGS LÄN</t>
        </is>
      </c>
      <c r="G127" t="inlineStr">
        <is>
          <t>ANEBY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45749</v>
      </c>
      <c r="E128" s="1" t="n">
        <v>46229</v>
      </c>
      <c r="F128" t="inlineStr">
        <is>
          <t>JÖNKÖPINGS LÄN</t>
        </is>
      </c>
      <c r="G128" t="inlineStr">
        <is>
          <t>ANEBY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46229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45608</v>
      </c>
      <c r="E130" s="1" t="n">
        <v>46229</v>
      </c>
      <c r="F130" t="inlineStr">
        <is>
          <t>JÖNKÖPINGS LÄN</t>
        </is>
      </c>
      <c r="G130" t="inlineStr">
        <is>
          <t>ANEBY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46229</v>
      </c>
      <c r="F131" t="inlineStr">
        <is>
          <t>JÖNKÖPINGS LÄN</t>
        </is>
      </c>
      <c r="G131" t="inlineStr">
        <is>
          <t>ANEBY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46229</v>
      </c>
      <c r="F132" t="inlineStr">
        <is>
          <t>JÖNKÖPINGS LÄN</t>
        </is>
      </c>
      <c r="G132" t="inlineStr">
        <is>
          <t>ANEBY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46229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44705</v>
      </c>
      <c r="E134" s="1" t="n">
        <v>46229</v>
      </c>
      <c r="F134" t="inlineStr">
        <is>
          <t>JÖNKÖPINGS LÄN</t>
        </is>
      </c>
      <c r="G134" t="inlineStr">
        <is>
          <t>ANEBY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46229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46229</v>
      </c>
      <c r="F136" t="inlineStr">
        <is>
          <t>JÖNKÖPINGS LÄN</t>
        </is>
      </c>
      <c r="G136" t="inlineStr">
        <is>
          <t>ANEBY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46229</v>
      </c>
      <c r="F137" t="inlineStr">
        <is>
          <t>JÖNKÖPINGS LÄN</t>
        </is>
      </c>
      <c r="G137" t="inlineStr">
        <is>
          <t>ANEBY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46229</v>
      </c>
      <c r="F138" t="inlineStr">
        <is>
          <t>JÖNKÖPINGS LÄN</t>
        </is>
      </c>
      <c r="G138" t="inlineStr">
        <is>
          <t>ANEBY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46229</v>
      </c>
      <c r="F139" t="inlineStr">
        <is>
          <t>JÖNKÖPINGS LÄN</t>
        </is>
      </c>
      <c r="G139" t="inlineStr">
        <is>
          <t>ANEBY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46229</v>
      </c>
      <c r="F140" t="inlineStr">
        <is>
          <t>JÖNKÖPINGS LÄN</t>
        </is>
      </c>
      <c r="G140" t="inlineStr">
        <is>
          <t>ANEBY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45552</v>
      </c>
      <c r="E141" s="1" t="n">
        <v>46229</v>
      </c>
      <c r="F141" t="inlineStr">
        <is>
          <t>JÖNKÖPINGS LÄN</t>
        </is>
      </c>
      <c r="G141" t="inlineStr">
        <is>
          <t>ANEBY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46229</v>
      </c>
      <c r="F142" t="inlineStr">
        <is>
          <t>JÖNKÖPINGS LÄN</t>
        </is>
      </c>
      <c r="G142" t="inlineStr">
        <is>
          <t>ANEBY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46229</v>
      </c>
      <c r="F143" t="inlineStr">
        <is>
          <t>JÖNKÖPINGS LÄN</t>
        </is>
      </c>
      <c r="G143" t="inlineStr">
        <is>
          <t>ANEBY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45356</v>
      </c>
      <c r="E144" s="1" t="n">
        <v>46229</v>
      </c>
      <c r="F144" t="inlineStr">
        <is>
          <t>JÖNKÖPINGS LÄN</t>
        </is>
      </c>
      <c r="G144" t="inlineStr">
        <is>
          <t>ANEBY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46229</v>
      </c>
      <c r="F145" t="inlineStr">
        <is>
          <t>JÖNKÖPINGS LÄN</t>
        </is>
      </c>
      <c r="G145" t="inlineStr">
        <is>
          <t>ANEBY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46229</v>
      </c>
      <c r="F146" t="inlineStr">
        <is>
          <t>JÖNKÖPINGS LÄN</t>
        </is>
      </c>
      <c r="G146" t="inlineStr">
        <is>
          <t>ANEBY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43528-2025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45911</v>
      </c>
      <c r="E147" s="1" t="n">
        <v>46229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46229</v>
      </c>
      <c r="F148" t="inlineStr">
        <is>
          <t>JÖNKÖPINGS LÄN</t>
        </is>
      </c>
      <c r="G148" t="inlineStr">
        <is>
          <t>ANEBY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46229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46229</v>
      </c>
      <c r="F150" t="inlineStr">
        <is>
          <t>JÖNKÖPINGS LÄN</t>
        </is>
      </c>
      <c r="G150" t="inlineStr">
        <is>
          <t>ANEBY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46229</v>
      </c>
      <c r="F151" t="inlineStr">
        <is>
          <t>JÖNKÖPINGS LÄN</t>
        </is>
      </c>
      <c r="G151" t="inlineStr">
        <is>
          <t>ANEBY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46229</v>
      </c>
      <c r="F152" t="inlineStr">
        <is>
          <t>JÖNKÖPINGS LÄN</t>
        </is>
      </c>
      <c r="G152" t="inlineStr">
        <is>
          <t>ANEBY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44051-2024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45572</v>
      </c>
      <c r="E153" s="1" t="n">
        <v>46229</v>
      </c>
      <c r="F153" t="inlineStr">
        <is>
          <t>JÖNKÖPINGS LÄN</t>
        </is>
      </c>
      <c r="G153" t="inlineStr">
        <is>
          <t>ANEBY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44477</v>
      </c>
      <c r="E154" s="1" t="n">
        <v>46229</v>
      </c>
      <c r="F154" t="inlineStr">
        <is>
          <t>JÖNKÖPINGS LÄN</t>
        </is>
      </c>
      <c r="G154" t="inlineStr">
        <is>
          <t>ANEBY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45707</v>
      </c>
      <c r="E155" s="1" t="n">
        <v>46229</v>
      </c>
      <c r="F155" t="inlineStr">
        <is>
          <t>JÖNKÖPINGS LÄN</t>
        </is>
      </c>
      <c r="G155" t="inlineStr">
        <is>
          <t>ANEBY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46229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46229</v>
      </c>
      <c r="F157" t="inlineStr">
        <is>
          <t>JÖNKÖPINGS LÄN</t>
        </is>
      </c>
      <c r="G157" t="inlineStr">
        <is>
          <t>ANEBY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44606</v>
      </c>
      <c r="E158" s="1" t="n">
        <v>46229</v>
      </c>
      <c r="F158" t="inlineStr">
        <is>
          <t>JÖNKÖPINGS LÄN</t>
        </is>
      </c>
      <c r="G158" t="inlineStr">
        <is>
          <t>ANEBY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45009</v>
      </c>
      <c r="E159" s="1" t="n">
        <v>46229</v>
      </c>
      <c r="F159" t="inlineStr">
        <is>
          <t>JÖNKÖPINGS LÄN</t>
        </is>
      </c>
      <c r="G159" t="inlineStr">
        <is>
          <t>ANEBY</t>
        </is>
      </c>
      <c r="I159" t="n">
        <v>13.8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45393</v>
      </c>
      <c r="E160" s="1" t="n">
        <v>46229</v>
      </c>
      <c r="F160" t="inlineStr">
        <is>
          <t>JÖNKÖPINGS LÄN</t>
        </is>
      </c>
      <c r="G160" t="inlineStr">
        <is>
          <t>ANEBY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46229</v>
      </c>
      <c r="F161" t="inlineStr">
        <is>
          <t>JÖNKÖPINGS LÄN</t>
        </is>
      </c>
      <c r="G161" t="inlineStr">
        <is>
          <t>ANEBY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44985</v>
      </c>
      <c r="E162" s="1" t="n">
        <v>46229</v>
      </c>
      <c r="F162" t="inlineStr">
        <is>
          <t>JÖNKÖPINGS LÄN</t>
        </is>
      </c>
      <c r="G162" t="inlineStr">
        <is>
          <t>ANEBY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46229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45454</v>
      </c>
      <c r="E164" s="1" t="n">
        <v>46229</v>
      </c>
      <c r="F164" t="inlineStr">
        <is>
          <t>JÖNKÖPINGS LÄN</t>
        </is>
      </c>
      <c r="G164" t="inlineStr">
        <is>
          <t>ANEBY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46229</v>
      </c>
      <c r="F165" t="inlineStr">
        <is>
          <t>JÖNKÖPINGS LÄN</t>
        </is>
      </c>
      <c r="G165" t="inlineStr">
        <is>
          <t>ANEBY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46229</v>
      </c>
      <c r="F166" t="inlineStr">
        <is>
          <t>JÖNKÖPINGS LÄN</t>
        </is>
      </c>
      <c r="G166" t="inlineStr">
        <is>
          <t>ANEBY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46229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21356-2026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46147</v>
      </c>
      <c r="E168" s="1" t="n">
        <v>46229</v>
      </c>
      <c r="F168" t="inlineStr">
        <is>
          <t>JÖNKÖPINGS LÄN</t>
        </is>
      </c>
      <c r="G168" t="inlineStr">
        <is>
          <t>ANEBY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46229</v>
      </c>
      <c r="F169" t="inlineStr">
        <is>
          <t>JÖNKÖPINGS LÄN</t>
        </is>
      </c>
      <c r="G169" t="inlineStr">
        <is>
          <t>ANEBY</t>
        </is>
      </c>
      <c r="H169" t="inlineStr">
        <is>
          <t>Övriga Aktiebolag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46229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46229</v>
      </c>
      <c r="F171" t="inlineStr">
        <is>
          <t>JÖNKÖPINGS LÄN</t>
        </is>
      </c>
      <c r="G171" t="inlineStr">
        <is>
          <t>ANEBY</t>
        </is>
      </c>
      <c r="I171" t="n">
        <v>17.9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46229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45537</v>
      </c>
      <c r="E173" s="1" t="n">
        <v>46229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45097</v>
      </c>
      <c r="E174" s="1" t="n">
        <v>46229</v>
      </c>
      <c r="F174" t="inlineStr">
        <is>
          <t>JÖNKÖPINGS LÄN</t>
        </is>
      </c>
      <c r="G174" t="inlineStr">
        <is>
          <t>ANEBY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46229</v>
      </c>
      <c r="F175" t="inlineStr">
        <is>
          <t>JÖNKÖPINGS LÄN</t>
        </is>
      </c>
      <c r="G175" t="inlineStr">
        <is>
          <t>ANEBY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46229</v>
      </c>
      <c r="F176" t="inlineStr">
        <is>
          <t>JÖNKÖPINGS LÄN</t>
        </is>
      </c>
      <c r="G176" t="inlineStr">
        <is>
          <t>ANEBY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46229</v>
      </c>
      <c r="F177" t="inlineStr">
        <is>
          <t>JÖNKÖPINGS LÄN</t>
        </is>
      </c>
      <c r="G177" t="inlineStr">
        <is>
          <t>ANEBY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46229</v>
      </c>
      <c r="F178" t="inlineStr">
        <is>
          <t>JÖNKÖPINGS LÄN</t>
        </is>
      </c>
      <c r="G178" t="inlineStr">
        <is>
          <t>ANEBY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46229</v>
      </c>
      <c r="F179" t="inlineStr">
        <is>
          <t>JÖNKÖPINGS LÄN</t>
        </is>
      </c>
      <c r="G179" t="inlineStr">
        <is>
          <t>ANEBY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46229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46229</v>
      </c>
      <c r="F181" t="inlineStr">
        <is>
          <t>JÖNKÖPINGS LÄN</t>
        </is>
      </c>
      <c r="G181" t="inlineStr">
        <is>
          <t>ANEBY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46229</v>
      </c>
      <c r="F182" t="inlineStr">
        <is>
          <t>JÖNKÖPINGS LÄN</t>
        </is>
      </c>
      <c r="G182" t="inlineStr">
        <is>
          <t>ANEBY</t>
        </is>
      </c>
      <c r="H182" t="inlineStr">
        <is>
          <t>Kyrkan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45412</v>
      </c>
      <c r="E183" s="1" t="n">
        <v>46229</v>
      </c>
      <c r="F183" t="inlineStr">
        <is>
          <t>JÖNKÖPINGS LÄN</t>
        </is>
      </c>
      <c r="G183" t="inlineStr">
        <is>
          <t>ANEBY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45357</v>
      </c>
      <c r="E184" s="1" t="n">
        <v>46229</v>
      </c>
      <c r="F184" t="inlineStr">
        <is>
          <t>JÖNKÖPINGS LÄN</t>
        </is>
      </c>
      <c r="G184" t="inlineStr">
        <is>
          <t>ANEBY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46229</v>
      </c>
      <c r="F185" t="inlineStr">
        <is>
          <t>JÖNKÖPINGS LÄN</t>
        </is>
      </c>
      <c r="G185" t="inlineStr">
        <is>
          <t>ANEBY</t>
        </is>
      </c>
      <c r="H185" t="inlineStr">
        <is>
          <t>Övriga Aktiebolag</t>
        </is>
      </c>
      <c r="I185" t="n">
        <v>19.6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46229</v>
      </c>
      <c r="F186" t="inlineStr">
        <is>
          <t>JÖNKÖPINGS LÄN</t>
        </is>
      </c>
      <c r="G186" t="inlineStr">
        <is>
          <t>ANEBY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45980</v>
      </c>
      <c r="E187" s="1" t="n">
        <v>46229</v>
      </c>
      <c r="F187" t="inlineStr">
        <is>
          <t>JÖNKÖPINGS LÄN</t>
        </is>
      </c>
      <c r="G187" t="inlineStr">
        <is>
          <t>ANEBY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46229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45982</v>
      </c>
      <c r="E189" s="1" t="n">
        <v>46229</v>
      </c>
      <c r="F189" t="inlineStr">
        <is>
          <t>JÖNKÖPINGS LÄN</t>
        </is>
      </c>
      <c r="G189" t="inlineStr">
        <is>
          <t>ANEBY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46229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46229</v>
      </c>
      <c r="F191" t="inlineStr">
        <is>
          <t>JÖNKÖPINGS LÄN</t>
        </is>
      </c>
      <c r="G191" t="inlineStr">
        <is>
          <t>ANEBY</t>
        </is>
      </c>
      <c r="H191" t="inlineStr">
        <is>
          <t>Kyrkan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45372</v>
      </c>
      <c r="E192" s="1" t="n">
        <v>46229</v>
      </c>
      <c r="F192" t="inlineStr">
        <is>
          <t>JÖNKÖPINGS LÄN</t>
        </is>
      </c>
      <c r="G192" t="inlineStr">
        <is>
          <t>ANEBY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46229</v>
      </c>
      <c r="F193" t="inlineStr">
        <is>
          <t>JÖNKÖPINGS LÄN</t>
        </is>
      </c>
      <c r="G193" t="inlineStr">
        <is>
          <t>ANEBY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44952</v>
      </c>
      <c r="E194" s="1" t="n">
        <v>46229</v>
      </c>
      <c r="F194" t="inlineStr">
        <is>
          <t>JÖNKÖPINGS LÄN</t>
        </is>
      </c>
      <c r="G194" t="inlineStr">
        <is>
          <t>ANEBY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46229</v>
      </c>
      <c r="F195" t="inlineStr">
        <is>
          <t>JÖNKÖPINGS LÄN</t>
        </is>
      </c>
      <c r="G195" t="inlineStr">
        <is>
          <t>ANEBY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73166-2021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44550</v>
      </c>
      <c r="E196" s="1" t="n">
        <v>46229</v>
      </c>
      <c r="F196" t="inlineStr">
        <is>
          <t>JÖNKÖPINGS LÄN</t>
        </is>
      </c>
      <c r="G196" t="inlineStr">
        <is>
          <t>ANEBY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46229</v>
      </c>
      <c r="F197" t="inlineStr">
        <is>
          <t>JÖNKÖPINGS LÄN</t>
        </is>
      </c>
      <c r="G197" t="inlineStr">
        <is>
          <t>ANEBY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44623</v>
      </c>
      <c r="E198" s="1" t="n">
        <v>46229</v>
      </c>
      <c r="F198" t="inlineStr">
        <is>
          <t>JÖNKÖPINGS LÄN</t>
        </is>
      </c>
      <c r="G198" t="inlineStr">
        <is>
          <t>ANEBY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23349-2023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45076</v>
      </c>
      <c r="E199" s="1" t="n">
        <v>46229</v>
      </c>
      <c r="F199" t="inlineStr">
        <is>
          <t>JÖNKÖPINGS LÄN</t>
        </is>
      </c>
      <c r="G199" t="inlineStr">
        <is>
          <t>ANEBY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46229</v>
      </c>
      <c r="F200" t="inlineStr">
        <is>
          <t>JÖNKÖPINGS LÄN</t>
        </is>
      </c>
      <c r="G200" t="inlineStr">
        <is>
          <t>ANEBY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46229</v>
      </c>
      <c r="F201" t="inlineStr">
        <is>
          <t>JÖNKÖPINGS LÄN</t>
        </is>
      </c>
      <c r="G201" t="inlineStr">
        <is>
          <t>ANEBY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  <c r="Z201">
        <f>HYPERLINK("https://klasma.github.io/Logging_0604/knärot/A 25963-2024 karta knärot.png", "A 25963-2024")</f>
        <v/>
      </c>
      <c r="AA201">
        <f>HYPERLINK("https://klasma.github.io/Logging_0604/klagomål/A 25963-2024 FSC-klagomål.docx", "A 25963-2024")</f>
        <v/>
      </c>
      <c r="AB201">
        <f>HYPERLINK("https://klasma.github.io/Logging_0604/klagomålsmail/A 25963-2024 FSC-klagomål mail.docx", "A 25963-2024")</f>
        <v/>
      </c>
      <c r="AC201">
        <f>HYPERLINK("https://klasma.github.io/Logging_0604/tillsyn/A 25963-2024 tillsynsbegäran.docx", "A 25963-2024")</f>
        <v/>
      </c>
      <c r="AD201">
        <f>HYPERLINK("https://klasma.github.io/Logging_0604/tillsynsmail/A 25963-2024 tillsynsbegäran mail.docx", "A 25963-2024")</f>
        <v/>
      </c>
    </row>
    <row r="202" ht="15" customHeight="1">
      <c r="A202" t="inlineStr">
        <is>
          <t>A 21812-2023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45068</v>
      </c>
      <c r="E202" s="1" t="n">
        <v>46229</v>
      </c>
      <c r="F202" t="inlineStr">
        <is>
          <t>JÖNKÖPINGS LÄN</t>
        </is>
      </c>
      <c r="G202" t="inlineStr">
        <is>
          <t>ANEBY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46229</v>
      </c>
      <c r="F203" t="inlineStr">
        <is>
          <t>JÖNKÖPINGS LÄN</t>
        </is>
      </c>
      <c r="G203" t="inlineStr">
        <is>
          <t>ANEBY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46229</v>
      </c>
      <c r="F204" t="inlineStr">
        <is>
          <t>JÖNKÖPINGS LÄN</t>
        </is>
      </c>
      <c r="G204" t="inlineStr">
        <is>
          <t>ANEBY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46229</v>
      </c>
      <c r="F205" t="inlineStr">
        <is>
          <t>JÖNKÖPINGS LÄN</t>
        </is>
      </c>
      <c r="G205" t="inlineStr">
        <is>
          <t>ANEBY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46229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46229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46229</v>
      </c>
      <c r="F208" t="inlineStr">
        <is>
          <t>JÖNKÖPINGS LÄN</t>
        </is>
      </c>
      <c r="G208" t="inlineStr">
        <is>
          <t>ANEBY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62090-2025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46229</v>
      </c>
      <c r="F209" t="inlineStr">
        <is>
          <t>JÖNKÖPINGS LÄN</t>
        </is>
      </c>
      <c r="G209" t="inlineStr">
        <is>
          <t>ANEBY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46006</v>
      </c>
      <c r="E210" s="1" t="n">
        <v>46229</v>
      </c>
      <c r="F210" t="inlineStr">
        <is>
          <t>JÖNKÖPINGS LÄN</t>
        </is>
      </c>
      <c r="G210" t="inlineStr">
        <is>
          <t>ANEBY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45159</v>
      </c>
      <c r="E211" s="1" t="n">
        <v>46229</v>
      </c>
      <c r="F211" t="inlineStr">
        <is>
          <t>JÖNKÖPINGS LÄN</t>
        </is>
      </c>
      <c r="G211" t="inlineStr">
        <is>
          <t>ANEBY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52790-2024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45610</v>
      </c>
      <c r="E212" s="1" t="n">
        <v>46229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46196</v>
      </c>
      <c r="E213" s="1" t="n">
        <v>46229</v>
      </c>
      <c r="F213" t="inlineStr">
        <is>
          <t>JÖNKÖPINGS LÄN</t>
        </is>
      </c>
      <c r="G213" t="inlineStr">
        <is>
          <t>ANEBY</t>
        </is>
      </c>
      <c r="H213" t="inlineStr">
        <is>
          <t>Kyrkan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44721</v>
      </c>
      <c r="E214" s="1" t="n">
        <v>46229</v>
      </c>
      <c r="F214" t="inlineStr">
        <is>
          <t>JÖNKÖPINGS LÄN</t>
        </is>
      </c>
      <c r="G214" t="inlineStr">
        <is>
          <t>ANEBY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46020</v>
      </c>
      <c r="E215" s="1" t="n">
        <v>46229</v>
      </c>
      <c r="F215" t="inlineStr">
        <is>
          <t>JÖNKÖPINGS LÄN</t>
        </is>
      </c>
      <c r="G215" t="inlineStr">
        <is>
          <t>ANEBY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46021</v>
      </c>
      <c r="E216" s="1" t="n">
        <v>46229</v>
      </c>
      <c r="F216" t="inlineStr">
        <is>
          <t>JÖNKÖPINGS LÄN</t>
        </is>
      </c>
      <c r="G216" t="inlineStr">
        <is>
          <t>ANEBY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54213-2024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45616</v>
      </c>
      <c r="E217" s="1" t="n">
        <v>46229</v>
      </c>
      <c r="F217" t="inlineStr">
        <is>
          <t>JÖNKÖPINGS LÄN</t>
        </is>
      </c>
      <c r="G217" t="inlineStr">
        <is>
          <t>ANEBY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46021</v>
      </c>
      <c r="E218" s="1" t="n">
        <v>46229</v>
      </c>
      <c r="F218" t="inlineStr">
        <is>
          <t>JÖNKÖPINGS LÄN</t>
        </is>
      </c>
      <c r="G218" t="inlineStr">
        <is>
          <t>ANEBY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46229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46229</v>
      </c>
      <c r="F220" t="inlineStr">
        <is>
          <t>JÖNKÖPINGS LÄN</t>
        </is>
      </c>
      <c r="G220" t="inlineStr">
        <is>
          <t>ANEBY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45772</v>
      </c>
      <c r="E221" s="1" t="n">
        <v>46229</v>
      </c>
      <c r="F221" t="inlineStr">
        <is>
          <t>JÖNKÖPINGS LÄN</t>
        </is>
      </c>
      <c r="G221" t="inlineStr">
        <is>
          <t>ANEBY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46229</v>
      </c>
      <c r="F222" t="inlineStr">
        <is>
          <t>JÖNKÖPINGS LÄN</t>
        </is>
      </c>
      <c r="G222" t="inlineStr">
        <is>
          <t>ANEBY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46229</v>
      </c>
      <c r="F223" t="inlineStr">
        <is>
          <t>JÖNKÖPINGS LÄN</t>
        </is>
      </c>
      <c r="G223" t="inlineStr">
        <is>
          <t>ANEBY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46229</v>
      </c>
      <c r="F224" t="inlineStr">
        <is>
          <t>JÖNKÖPINGS LÄN</t>
        </is>
      </c>
      <c r="G224" t="inlineStr">
        <is>
          <t>ANEBY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43613-2023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45184</v>
      </c>
      <c r="E225" s="1" t="n">
        <v>46229</v>
      </c>
      <c r="F225" t="inlineStr">
        <is>
          <t>JÖNKÖPINGS LÄN</t>
        </is>
      </c>
      <c r="G225" t="inlineStr">
        <is>
          <t>ANEBY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12477-2023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44999</v>
      </c>
      <c r="E226" s="1" t="n">
        <v>46229</v>
      </c>
      <c r="F226" t="inlineStr">
        <is>
          <t>JÖNKÖPINGS LÄN</t>
        </is>
      </c>
      <c r="G226" t="inlineStr">
        <is>
          <t>ANEBY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46229</v>
      </c>
      <c r="F227" t="inlineStr">
        <is>
          <t>JÖNKÖPINGS LÄN</t>
        </is>
      </c>
      <c r="G227" t="inlineStr">
        <is>
          <t>ANEBY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46229</v>
      </c>
      <c r="F228" t="inlineStr">
        <is>
          <t>JÖNKÖPINGS LÄN</t>
        </is>
      </c>
      <c r="G228" t="inlineStr">
        <is>
          <t>ANEBY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46229</v>
      </c>
      <c r="F229" t="inlineStr">
        <is>
          <t>JÖNKÖPINGS LÄN</t>
        </is>
      </c>
      <c r="G229" t="inlineStr">
        <is>
          <t>ANEBY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45665</v>
      </c>
      <c r="E230" s="1" t="n">
        <v>46229</v>
      </c>
      <c r="F230" t="inlineStr">
        <is>
          <t>JÖNKÖPINGS LÄN</t>
        </is>
      </c>
      <c r="G230" t="inlineStr">
        <is>
          <t>ANEBY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41144-2021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44423</v>
      </c>
      <c r="E231" s="1" t="n">
        <v>46229</v>
      </c>
      <c r="F231" t="inlineStr">
        <is>
          <t>JÖNKÖPINGS LÄN</t>
        </is>
      </c>
      <c r="G231" t="inlineStr">
        <is>
          <t>ANEBY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46229</v>
      </c>
      <c r="F232" t="inlineStr">
        <is>
          <t>JÖNKÖPINGS LÄN</t>
        </is>
      </c>
      <c r="G232" t="inlineStr">
        <is>
          <t>ANEBY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21026-2024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45439</v>
      </c>
      <c r="E233" s="1" t="n">
        <v>46229</v>
      </c>
      <c r="F233" t="inlineStr">
        <is>
          <t>JÖNKÖPINGS LÄN</t>
        </is>
      </c>
      <c r="G233" t="inlineStr">
        <is>
          <t>ANEBY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4836-2023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44957</v>
      </c>
      <c r="E234" s="1" t="n">
        <v>46229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46229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46229</v>
      </c>
      <c r="F236" t="inlineStr">
        <is>
          <t>JÖNKÖPINGS LÄN</t>
        </is>
      </c>
      <c r="G236" t="inlineStr">
        <is>
          <t>ANEBY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46057</v>
      </c>
      <c r="E237" s="1" t="n">
        <v>46229</v>
      </c>
      <c r="F237" t="inlineStr">
        <is>
          <t>JÖNKÖPINGS LÄN</t>
        </is>
      </c>
      <c r="G237" t="inlineStr">
        <is>
          <t>ANEBY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46229</v>
      </c>
      <c r="F238" t="inlineStr">
        <is>
          <t>JÖNKÖPINGS LÄN</t>
        </is>
      </c>
      <c r="G238" t="inlineStr">
        <is>
          <t>ANEBY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46229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46229</v>
      </c>
      <c r="F240" t="inlineStr">
        <is>
          <t>JÖNKÖPINGS LÄN</t>
        </is>
      </c>
      <c r="G240" t="inlineStr">
        <is>
          <t>ANEBY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7263-2026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46058</v>
      </c>
      <c r="E241" s="1" t="n">
        <v>46229</v>
      </c>
      <c r="F241" t="inlineStr">
        <is>
          <t>JÖNKÖPINGS LÄN</t>
        </is>
      </c>
      <c r="G241" t="inlineStr">
        <is>
          <t>ANEBY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46229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46229</v>
      </c>
      <c r="F243" t="inlineStr">
        <is>
          <t>JÖNKÖPINGS LÄN</t>
        </is>
      </c>
      <c r="G243" t="inlineStr">
        <is>
          <t>ANEBY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46229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45343</v>
      </c>
      <c r="E245" s="1" t="n">
        <v>46229</v>
      </c>
      <c r="F245" t="inlineStr">
        <is>
          <t>JÖNKÖPINGS LÄN</t>
        </is>
      </c>
      <c r="G245" t="inlineStr">
        <is>
          <t>ANEBY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46229</v>
      </c>
      <c r="F246" t="inlineStr">
        <is>
          <t>JÖNKÖPINGS LÄN</t>
        </is>
      </c>
      <c r="G246" t="inlineStr">
        <is>
          <t>ANEBY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45304</v>
      </c>
      <c r="E247" s="1" t="n">
        <v>46229</v>
      </c>
      <c r="F247" t="inlineStr">
        <is>
          <t>JÖNKÖPINGS LÄN</t>
        </is>
      </c>
      <c r="G247" t="inlineStr">
        <is>
          <t>ANEBY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44578</v>
      </c>
      <c r="E248" s="1" t="n">
        <v>46229</v>
      </c>
      <c r="F248" t="inlineStr">
        <is>
          <t>JÖNKÖPINGS LÄN</t>
        </is>
      </c>
      <c r="G248" t="inlineStr">
        <is>
          <t>ANEBY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45468</v>
      </c>
      <c r="E249" s="1" t="n">
        <v>46229</v>
      </c>
      <c r="F249" t="inlineStr">
        <is>
          <t>JÖNKÖPINGS LÄN</t>
        </is>
      </c>
      <c r="G249" t="inlineStr">
        <is>
          <t>ANEBY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46229</v>
      </c>
      <c r="F250" t="inlineStr">
        <is>
          <t>JÖNKÖPINGS LÄN</t>
        </is>
      </c>
      <c r="G250" t="inlineStr">
        <is>
          <t>ANEBY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46076</v>
      </c>
      <c r="E251" s="1" t="n">
        <v>46229</v>
      </c>
      <c r="F251" t="inlineStr">
        <is>
          <t>JÖNKÖPINGS LÄN</t>
        </is>
      </c>
      <c r="G251" t="inlineStr">
        <is>
          <t>ANEBY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46229</v>
      </c>
      <c r="F252" t="inlineStr">
        <is>
          <t>JÖNKÖPINGS LÄN</t>
        </is>
      </c>
      <c r="G252" t="inlineStr">
        <is>
          <t>ANEBY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46229</v>
      </c>
      <c r="F253" t="inlineStr">
        <is>
          <t>JÖNKÖPINGS LÄN</t>
        </is>
      </c>
      <c r="G253" t="inlineStr">
        <is>
          <t>ANEBY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46229</v>
      </c>
      <c r="F254" t="inlineStr">
        <is>
          <t>JÖNKÖPINGS LÄN</t>
        </is>
      </c>
      <c r="G254" t="inlineStr">
        <is>
          <t>ANEBY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44890</v>
      </c>
      <c r="E255" s="1" t="n">
        <v>46229</v>
      </c>
      <c r="F255" t="inlineStr">
        <is>
          <t>JÖNKÖPINGS LÄN</t>
        </is>
      </c>
      <c r="G255" t="inlineStr">
        <is>
          <t>ANEBY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56339-2022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44890</v>
      </c>
      <c r="E256" s="1" t="n">
        <v>46229</v>
      </c>
      <c r="F256" t="inlineStr">
        <is>
          <t>JÖNKÖPINGS LÄN</t>
        </is>
      </c>
      <c r="G256" t="inlineStr">
        <is>
          <t>ANEBY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12576-2026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46229</v>
      </c>
      <c r="F257" t="inlineStr">
        <is>
          <t>JÖNKÖPINGS LÄN</t>
        </is>
      </c>
      <c r="G257" t="inlineStr">
        <is>
          <t>ANEBY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46229</v>
      </c>
      <c r="F258" t="inlineStr">
        <is>
          <t>JÖNKÖPINGS LÄN</t>
        </is>
      </c>
      <c r="G258" t="inlineStr">
        <is>
          <t>ANEBY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45364</v>
      </c>
      <c r="E259" s="1" t="n">
        <v>46229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46229</v>
      </c>
      <c r="F260" t="inlineStr">
        <is>
          <t>JÖNKÖPINGS LÄN</t>
        </is>
      </c>
      <c r="G260" t="inlineStr">
        <is>
          <t>ANEBY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46229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46229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46229</v>
      </c>
      <c r="F263" t="inlineStr">
        <is>
          <t>JÖNKÖPINGS LÄN</t>
        </is>
      </c>
      <c r="G263" t="inlineStr">
        <is>
          <t>ANEBY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46229</v>
      </c>
      <c r="F264" t="inlineStr">
        <is>
          <t>JÖNKÖPINGS LÄN</t>
        </is>
      </c>
      <c r="G264" t="inlineStr">
        <is>
          <t>ANEBY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46171</v>
      </c>
      <c r="E265" s="1" t="n">
        <v>46229</v>
      </c>
      <c r="F265" t="inlineStr">
        <is>
          <t>JÖNKÖPINGS LÄN</t>
        </is>
      </c>
      <c r="G265" t="inlineStr">
        <is>
          <t>ANEBY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46229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46214</v>
      </c>
      <c r="E267" s="1" t="n">
        <v>46229</v>
      </c>
      <c r="F267" t="inlineStr">
        <is>
          <t>JÖNKÖPINGS LÄN</t>
        </is>
      </c>
      <c r="G267" t="inlineStr">
        <is>
          <t>ANEBY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46229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20.7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46229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46229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45539</v>
      </c>
      <c r="E271" s="1" t="n">
        <v>46229</v>
      </c>
      <c r="F271" t="inlineStr">
        <is>
          <t>JÖNKÖPINGS LÄN</t>
        </is>
      </c>
      <c r="G271" t="inlineStr">
        <is>
          <t>ANEBY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46214</v>
      </c>
      <c r="E272" s="1" t="n">
        <v>46229</v>
      </c>
      <c r="F272" t="inlineStr">
        <is>
          <t>JÖNKÖPINGS LÄN</t>
        </is>
      </c>
      <c r="G272" t="inlineStr">
        <is>
          <t>ANEBY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46229</v>
      </c>
      <c r="F273" t="inlineStr">
        <is>
          <t>JÖNKÖPINGS LÄN</t>
        </is>
      </c>
      <c r="G273" t="inlineStr">
        <is>
          <t>ANEBY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46229</v>
      </c>
      <c r="F274" t="inlineStr">
        <is>
          <t>JÖNKÖPINGS LÄN</t>
        </is>
      </c>
      <c r="G274" t="inlineStr">
        <is>
          <t>ANEBY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10456-2023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44981</v>
      </c>
      <c r="E275" s="1" t="n">
        <v>46229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45379</v>
      </c>
      <c r="E276" s="1" t="n">
        <v>46229</v>
      </c>
      <c r="F276" t="inlineStr">
        <is>
          <t>JÖNKÖPINGS LÄN</t>
        </is>
      </c>
      <c r="G276" t="inlineStr">
        <is>
          <t>ANEBY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46229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46229</v>
      </c>
      <c r="F278" t="inlineStr">
        <is>
          <t>JÖNKÖPINGS LÄN</t>
        </is>
      </c>
      <c r="G278" t="inlineStr">
        <is>
          <t>ANEBY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46229</v>
      </c>
      <c r="F279" t="inlineStr">
        <is>
          <t>JÖNKÖPINGS LÄN</t>
        </is>
      </c>
      <c r="G279" t="inlineStr">
        <is>
          <t>ANEBY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45126</v>
      </c>
      <c r="E280" s="1" t="n">
        <v>46229</v>
      </c>
      <c r="F280" t="inlineStr">
        <is>
          <t>JÖNKÖPINGS LÄN</t>
        </is>
      </c>
      <c r="G280" t="inlineStr">
        <is>
          <t>ANEBY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51185-2021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44461</v>
      </c>
      <c r="E281" s="1" t="n">
        <v>46229</v>
      </c>
      <c r="F281" t="inlineStr">
        <is>
          <t>JÖNKÖPINGS LÄN</t>
        </is>
      </c>
      <c r="G281" t="inlineStr">
        <is>
          <t>ANEBY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46229</v>
      </c>
      <c r="F282" t="inlineStr">
        <is>
          <t>JÖNKÖPINGS LÄN</t>
        </is>
      </c>
      <c r="G282" t="inlineStr">
        <is>
          <t>ANEBY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46229</v>
      </c>
      <c r="F283" t="inlineStr">
        <is>
          <t>JÖNKÖPINGS LÄN</t>
        </is>
      </c>
      <c r="G283" t="inlineStr">
        <is>
          <t>ANEBY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44671</v>
      </c>
      <c r="E284" s="1" t="n">
        <v>46229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46125</v>
      </c>
      <c r="E285" s="1" t="n">
        <v>46229</v>
      </c>
      <c r="F285" t="inlineStr">
        <is>
          <t>JÖNKÖPINGS LÄN</t>
        </is>
      </c>
      <c r="G285" t="inlineStr">
        <is>
          <t>ANEBY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45356</v>
      </c>
      <c r="E286" s="1" t="n">
        <v>46229</v>
      </c>
      <c r="F286" t="inlineStr">
        <is>
          <t>JÖNKÖPINGS LÄN</t>
        </is>
      </c>
      <c r="G286" t="inlineStr">
        <is>
          <t>ANEBY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46229</v>
      </c>
      <c r="F287" t="inlineStr">
        <is>
          <t>JÖNKÖPINGS LÄN</t>
        </is>
      </c>
      <c r="G287" t="inlineStr">
        <is>
          <t>ANEBY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46229</v>
      </c>
      <c r="F288" t="inlineStr">
        <is>
          <t>JÖNKÖPINGS LÄN</t>
        </is>
      </c>
      <c r="G288" t="inlineStr">
        <is>
          <t>ANEBY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46229</v>
      </c>
      <c r="F289" t="inlineStr">
        <is>
          <t>JÖNKÖPINGS LÄN</t>
        </is>
      </c>
      <c r="G289" t="inlineStr">
        <is>
          <t>ANEBY</t>
        </is>
      </c>
      <c r="H289" t="inlineStr">
        <is>
          <t>Sveaskog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46229</v>
      </c>
      <c r="F290" t="inlineStr">
        <is>
          <t>JÖNKÖPINGS LÄN</t>
        </is>
      </c>
      <c r="G290" t="inlineStr">
        <is>
          <t>ANEBY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46224</v>
      </c>
      <c r="E291" s="1" t="n">
        <v>46229</v>
      </c>
      <c r="F291" t="inlineStr">
        <is>
          <t>JÖNKÖPINGS LÄN</t>
        </is>
      </c>
      <c r="G291" t="inlineStr">
        <is>
          <t>ANEBY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45110</v>
      </c>
      <c r="E292" s="1" t="n">
        <v>46229</v>
      </c>
      <c r="F292" t="inlineStr">
        <is>
          <t>JÖNKÖPINGS LÄN</t>
        </is>
      </c>
      <c r="G292" t="inlineStr">
        <is>
          <t>ANEBY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10302-2024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46229</v>
      </c>
      <c r="F293" t="inlineStr">
        <is>
          <t>JÖNKÖPINGS LÄN</t>
        </is>
      </c>
      <c r="G293" t="inlineStr">
        <is>
          <t>ANEBY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44959</v>
      </c>
      <c r="E294" s="1" t="n">
        <v>46229</v>
      </c>
      <c r="F294" t="inlineStr">
        <is>
          <t>JÖNKÖPINGS LÄN</t>
        </is>
      </c>
      <c r="G294" t="inlineStr">
        <is>
          <t>ANEBY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46229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27526-2026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46229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46229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45574</v>
      </c>
      <c r="E298" s="1" t="n">
        <v>46229</v>
      </c>
      <c r="F298" t="inlineStr">
        <is>
          <t>JÖNKÖPINGS LÄN</t>
        </is>
      </c>
      <c r="G298" t="inlineStr">
        <is>
          <t>ANEBY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46229</v>
      </c>
      <c r="F299" t="inlineStr">
        <is>
          <t>JÖNKÖPINGS LÄN</t>
        </is>
      </c>
      <c r="G299" t="inlineStr">
        <is>
          <t>ANEBY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45033</v>
      </c>
      <c r="E300" s="1" t="n">
        <v>46229</v>
      </c>
      <c r="F300" t="inlineStr">
        <is>
          <t>JÖNKÖPINGS LÄN</t>
        </is>
      </c>
      <c r="G300" t="inlineStr">
        <is>
          <t>ANEBY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46229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59507-2022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44900</v>
      </c>
      <c r="E302" s="1" t="n">
        <v>46229</v>
      </c>
      <c r="F302" t="inlineStr">
        <is>
          <t>JÖNKÖPINGS LÄN</t>
        </is>
      </c>
      <c r="G302" t="inlineStr">
        <is>
          <t>ANEBY</t>
        </is>
      </c>
      <c r="H302" t="inlineStr">
        <is>
          <t>Övriga Aktiebolag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23354-2023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45076</v>
      </c>
      <c r="E303" s="1" t="n">
        <v>46229</v>
      </c>
      <c r="F303" t="inlineStr">
        <is>
          <t>JÖNKÖPINGS LÄN</t>
        </is>
      </c>
      <c r="G303" t="inlineStr">
        <is>
          <t>ANEBY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46229</v>
      </c>
      <c r="F304" t="inlineStr">
        <is>
          <t>JÖNKÖPINGS LÄN</t>
        </is>
      </c>
      <c r="G304" t="inlineStr">
        <is>
          <t>ANEBY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37343-2023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45156</v>
      </c>
      <c r="E305" s="1" t="n">
        <v>46229</v>
      </c>
      <c r="F305" t="inlineStr">
        <is>
          <t>JÖNKÖPINGS LÄN</t>
        </is>
      </c>
      <c r="G305" t="inlineStr">
        <is>
          <t>ANEBY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45363</v>
      </c>
      <c r="E306" s="1" t="n">
        <v>46229</v>
      </c>
      <c r="F306" t="inlineStr">
        <is>
          <t>JÖNKÖPINGS LÄN</t>
        </is>
      </c>
      <c r="G306" t="inlineStr">
        <is>
          <t>ANEBY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45077</v>
      </c>
      <c r="E307" s="1" t="n">
        <v>46229</v>
      </c>
      <c r="F307" t="inlineStr">
        <is>
          <t>JÖNKÖPINGS LÄN</t>
        </is>
      </c>
      <c r="G307" t="inlineStr">
        <is>
          <t>ANEBY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45092</v>
      </c>
      <c r="E308" s="1" t="n">
        <v>46229</v>
      </c>
      <c r="F308" t="inlineStr">
        <is>
          <t>JÖNKÖPINGS LÄN</t>
        </is>
      </c>
      <c r="G308" t="inlineStr">
        <is>
          <t>ANEBY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38794-2023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45161</v>
      </c>
      <c r="E309" s="1" t="n">
        <v>46229</v>
      </c>
      <c r="F309" t="inlineStr">
        <is>
          <t>JÖNKÖPINGS LÄN</t>
        </is>
      </c>
      <c r="G309" t="inlineStr">
        <is>
          <t>ANEBY</t>
        </is>
      </c>
      <c r="H309" t="inlineStr">
        <is>
          <t>Övriga Aktiebolag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45028</v>
      </c>
      <c r="E310" s="1" t="n">
        <v>46229</v>
      </c>
      <c r="F310" t="inlineStr">
        <is>
          <t>JÖNKÖPINGS LÄN</t>
        </is>
      </c>
      <c r="G310" t="inlineStr">
        <is>
          <t>ANEBY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45616</v>
      </c>
      <c r="E311" s="1" t="n">
        <v>46229</v>
      </c>
      <c r="F311" t="inlineStr">
        <is>
          <t>JÖNKÖPINGS LÄN</t>
        </is>
      </c>
      <c r="G311" t="inlineStr">
        <is>
          <t>ANEBY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46229</v>
      </c>
      <c r="F312" t="inlineStr">
        <is>
          <t>JÖNKÖPINGS LÄN</t>
        </is>
      </c>
      <c r="G312" t="inlineStr">
        <is>
          <t>ANEBY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46229</v>
      </c>
      <c r="F313" t="inlineStr">
        <is>
          <t>JÖNKÖPINGS LÄN</t>
        </is>
      </c>
      <c r="G313" t="inlineStr">
        <is>
          <t>ANEBY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44978</v>
      </c>
      <c r="E314" s="1" t="n">
        <v>46229</v>
      </c>
      <c r="F314" t="inlineStr">
        <is>
          <t>JÖNKÖPINGS LÄN</t>
        </is>
      </c>
      <c r="G314" t="inlineStr">
        <is>
          <t>ANEBY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46229</v>
      </c>
      <c r="F315" t="inlineStr">
        <is>
          <t>JÖNKÖPINGS LÄN</t>
        </is>
      </c>
      <c r="G315" t="inlineStr">
        <is>
          <t>ANEBY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46229</v>
      </c>
      <c r="F316" t="inlineStr">
        <is>
          <t>JÖNKÖPINGS LÄN</t>
        </is>
      </c>
      <c r="G316" t="inlineStr">
        <is>
          <t>ANEBY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46229</v>
      </c>
      <c r="F317" t="inlineStr">
        <is>
          <t>JÖNKÖPINGS LÄN</t>
        </is>
      </c>
      <c r="G317" t="inlineStr">
        <is>
          <t>ANEBY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46229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45184</v>
      </c>
      <c r="E319" s="1" t="n">
        <v>46229</v>
      </c>
      <c r="F319" t="inlineStr">
        <is>
          <t>JÖNKÖPINGS LÄN</t>
        </is>
      </c>
      <c r="G319" t="inlineStr">
        <is>
          <t>ANEBY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44957</v>
      </c>
      <c r="E320" s="1" t="n">
        <v>46229</v>
      </c>
      <c r="F320" t="inlineStr">
        <is>
          <t>JÖNKÖPINGS LÄN</t>
        </is>
      </c>
      <c r="G320" t="inlineStr">
        <is>
          <t>ANEBY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44700</v>
      </c>
      <c r="E321" s="1" t="n">
        <v>46229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46229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46229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46229</v>
      </c>
      <c r="F324" t="inlineStr">
        <is>
          <t>JÖNKÖPINGS LÄN</t>
        </is>
      </c>
      <c r="G324" t="inlineStr">
        <is>
          <t>ANEBY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51160-2021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44461</v>
      </c>
      <c r="E325" s="1" t="n">
        <v>46229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45089</v>
      </c>
      <c r="E326" s="1" t="n">
        <v>46229</v>
      </c>
      <c r="F326" t="inlineStr">
        <is>
          <t>JÖNKÖPINGS LÄN</t>
        </is>
      </c>
      <c r="G326" t="inlineStr">
        <is>
          <t>ANEBY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46229</v>
      </c>
      <c r="F327" t="inlineStr">
        <is>
          <t>JÖNKÖPINGS LÄN</t>
        </is>
      </c>
      <c r="G327" t="inlineStr">
        <is>
          <t>ANEBY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51331-2021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44461</v>
      </c>
      <c r="E328" s="1" t="n">
        <v>46229</v>
      </c>
      <c r="F328" t="inlineStr">
        <is>
          <t>JÖNKÖPINGS LÄN</t>
        </is>
      </c>
      <c r="G328" t="inlineStr">
        <is>
          <t>ANEBY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46229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50069-2024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45600</v>
      </c>
      <c r="E330" s="1" t="n">
        <v>46229</v>
      </c>
      <c r="F330" t="inlineStr">
        <is>
          <t>JÖNKÖPINGS LÄN</t>
        </is>
      </c>
      <c r="G330" t="inlineStr">
        <is>
          <t>ANEBY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38873-2023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45161</v>
      </c>
      <c r="E331" s="1" t="n">
        <v>46229</v>
      </c>
      <c r="F331" t="inlineStr">
        <is>
          <t>JÖNKÖPINGS LÄN</t>
        </is>
      </c>
      <c r="G331" t="inlineStr">
        <is>
          <t>ANEBY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44565</v>
      </c>
      <c r="E332" s="1" t="n">
        <v>46229</v>
      </c>
      <c r="F332" t="inlineStr">
        <is>
          <t>JÖNKÖPINGS LÄN</t>
        </is>
      </c>
      <c r="G332" t="inlineStr">
        <is>
          <t>ANEBY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46229</v>
      </c>
      <c r="F333" t="inlineStr">
        <is>
          <t>JÖNKÖPINGS LÄN</t>
        </is>
      </c>
      <c r="G333" t="inlineStr">
        <is>
          <t>ANEBY</t>
        </is>
      </c>
      <c r="H333" t="inlineStr">
        <is>
          <t>Kyrkan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45001</v>
      </c>
      <c r="E334" s="1" t="n">
        <v>46229</v>
      </c>
      <c r="F334" t="inlineStr">
        <is>
          <t>JÖNKÖPINGS LÄN</t>
        </is>
      </c>
      <c r="G334" t="inlineStr">
        <is>
          <t>ANEBY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46229</v>
      </c>
      <c r="F335" t="inlineStr">
        <is>
          <t>JÖNKÖPINGS LÄN</t>
        </is>
      </c>
      <c r="G335" t="inlineStr">
        <is>
          <t>ANEBY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45594</v>
      </c>
      <c r="E336" s="1" t="n">
        <v>46229</v>
      </c>
      <c r="F336" t="inlineStr">
        <is>
          <t>JÖNKÖPINGS LÄN</t>
        </is>
      </c>
      <c r="G336" t="inlineStr">
        <is>
          <t>ANEBY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46229</v>
      </c>
      <c r="F337" t="inlineStr">
        <is>
          <t>JÖNKÖPINGS LÄN</t>
        </is>
      </c>
      <c r="G337" t="inlineStr">
        <is>
          <t>ANEBY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14901-2024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45398</v>
      </c>
      <c r="E338" s="1" t="n">
        <v>46229</v>
      </c>
      <c r="F338" t="inlineStr">
        <is>
          <t>JÖNKÖPINGS LÄN</t>
        </is>
      </c>
      <c r="G338" t="inlineStr">
        <is>
          <t>ANEBY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45796</v>
      </c>
      <c r="E339" s="1" t="n">
        <v>46229</v>
      </c>
      <c r="F339" t="inlineStr">
        <is>
          <t>JÖNKÖPINGS LÄN</t>
        </is>
      </c>
      <c r="G339" t="inlineStr">
        <is>
          <t>ANEBY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45531</v>
      </c>
      <c r="E340" s="1" t="n">
        <v>46229</v>
      </c>
      <c r="F340" t="inlineStr">
        <is>
          <t>JÖNKÖPINGS LÄN</t>
        </is>
      </c>
      <c r="G340" t="inlineStr">
        <is>
          <t>ANEBY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46229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46229</v>
      </c>
      <c r="F342" t="inlineStr">
        <is>
          <t>JÖNKÖPINGS LÄN</t>
        </is>
      </c>
      <c r="G342" t="inlineStr">
        <is>
          <t>ANEBY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46229</v>
      </c>
      <c r="F343" t="inlineStr">
        <is>
          <t>JÖNKÖPINGS LÄN</t>
        </is>
      </c>
      <c r="G343" t="inlineStr">
        <is>
          <t>ANEBY</t>
        </is>
      </c>
      <c r="H343" t="inlineStr">
        <is>
          <t>Övriga Aktiebolag</t>
        </is>
      </c>
      <c r="I343" t="n">
        <v>16.8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46229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46229</v>
      </c>
      <c r="F345" t="inlineStr">
        <is>
          <t>JÖNKÖPINGS LÄN</t>
        </is>
      </c>
      <c r="G345" t="inlineStr">
        <is>
          <t>ANEBY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46229</v>
      </c>
      <c r="F346" t="inlineStr">
        <is>
          <t>JÖNKÖPINGS LÄN</t>
        </is>
      </c>
      <c r="G346" t="inlineStr">
        <is>
          <t>ANEBY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46229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46229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46229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46229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46229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46229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46229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46229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46229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46229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46229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46229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46229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46229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2026-07-26T01:52:58Z</dcterms:created>
  <dcterms:modified xmlns:dcterms="http://purl.org/dc/terms/" xmlns:xsi="http://www.w3.org/2001/XMLSchema-instance" xsi:type="dcterms:W3CDTF">2026-07-26T01:52:59Z</dcterms:modified>
</cp:coreProperties>
</file>