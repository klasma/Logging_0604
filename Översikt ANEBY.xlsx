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46250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46250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46250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46250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46250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46250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46250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46250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18417-2026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46250</v>
      </c>
      <c r="F14" t="inlineStr">
        <is>
          <t>JÖNKÖPINGS LÄN</t>
        </is>
      </c>
      <c r="G14" t="inlineStr">
        <is>
          <t>ANEBY</t>
        </is>
      </c>
      <c r="I14" t="n">
        <v>1.5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Slåttergubbe
Jungfrulin
Ängsstarr
Fläcknycklar</t>
        </is>
      </c>
      <c r="W14">
        <f>HYPERLINK("https://klasma.github.io/Logging_0604/artfynd/A 18417-2026 artfynd.xlsx", "A 18417-2026")</f>
        <v/>
      </c>
      <c r="X14">
        <f>HYPERLINK("https://klasma.github.io/Logging_0604/kartor/A 18417-2026 karta.png", "A 18417-2026")</f>
        <v/>
      </c>
      <c r="Y14">
        <f>HYPERLINK("https://klasma.github.io/Logging_0604/kartor_geotiff/A 18417-2026 georefererad karta.tif", "A 18417-2026")</f>
        <v/>
      </c>
      <c r="AA14">
        <f>HYPERLINK("https://klasma.github.io/Logging_0604/klagomål/A 18417-2026 FSC-klagomål.docx", "A 18417-2026")</f>
        <v/>
      </c>
      <c r="AB14">
        <f>HYPERLINK("https://klasma.github.io/Logging_0604/klagomålsmail/A 18417-2026 FSC-klagomål mail.docx", "A 18417-2026")</f>
        <v/>
      </c>
      <c r="AC14">
        <f>HYPERLINK("https://klasma.github.io/Logging_0604/tillsyn/A 18417-2026 tillsynsbegäran.docx", "A 18417-2026")</f>
        <v/>
      </c>
      <c r="AD14">
        <f>HYPERLINK("https://klasma.github.io/Logging_0604/tillsynsmail/A 18417-2026 tillsynsbegäran mail.docx", "A 18417-2026")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46250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46250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46250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46250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46250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46250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46250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46250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46250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Gullpudra
Kungsfågel</t>
        </is>
      </c>
      <c r="W23">
        <f>HYPERLINK("https://klasma.github.io/Logging_0604/artfynd/A 49437-2023 artfynd.xlsx", "A 49437-2023")</f>
        <v/>
      </c>
      <c r="X23">
        <f>HYPERLINK("https://klasma.github.io/Logging_0604/kartor/A 49437-2023 karta.png", "A 49437-2023")</f>
        <v/>
      </c>
      <c r="Y23">
        <f>HYPERLINK("https://klasma.github.io/Logging_0604/kartor_geotiff/A 49437-2023 georefererad karta.tif", "A 49437-2023")</f>
        <v/>
      </c>
      <c r="AA23">
        <f>HYPERLINK("https://klasma.github.io/Logging_0604/klagomål/A 49437-2023 FSC-klagomål.docx", "A 49437-2023")</f>
        <v/>
      </c>
      <c r="AB23">
        <f>HYPERLINK("https://klasma.github.io/Logging_0604/klagomålsmail/A 49437-2023 FSC-klagomål mail.docx", "A 49437-2023")</f>
        <v/>
      </c>
      <c r="AC23">
        <f>HYPERLINK("https://klasma.github.io/Logging_0604/tillsyn/A 49437-2023 tillsynsbegäran.docx", "A 49437-2023")</f>
        <v/>
      </c>
      <c r="AD23">
        <f>HYPERLINK("https://klasma.github.io/Logging_0604/tillsynsmail/A 49437-2023 tillsynsbegäran mail.docx", "A 49437-2023")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46250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46250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26784-2022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44740</v>
      </c>
      <c r="E26" s="1" t="n">
        <v>46250</v>
      </c>
      <c r="F26" t="inlineStr">
        <is>
          <t>JÖNKÖPINGS LÄN</t>
        </is>
      </c>
      <c r="G26" t="inlineStr">
        <is>
          <t>ANEBY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Vårstarr</t>
        </is>
      </c>
      <c r="W26">
        <f>HYPERLINK("https://klasma.github.io/Logging_0604/artfynd/A 26784-2022 artfynd.xlsx", "A 26784-2022")</f>
        <v/>
      </c>
      <c r="X26">
        <f>HYPERLINK("https://klasma.github.io/Logging_0604/kartor/A 26784-2022 karta.png", "A 26784-2022")</f>
        <v/>
      </c>
      <c r="Y26">
        <f>HYPERLINK("https://klasma.github.io/Logging_0604/kartor_geotiff/A 26784-2022 georefererad karta.tif", "A 26784-2022")</f>
        <v/>
      </c>
      <c r="AA26">
        <f>HYPERLINK("https://klasma.github.io/Logging_0604/klagomål/A 26784-2022 FSC-klagomål.docx", "A 26784-2022")</f>
        <v/>
      </c>
      <c r="AB26">
        <f>HYPERLINK("https://klasma.github.io/Logging_0604/klagomålsmail/A 26784-2022 FSC-klagomål mail.docx", "A 26784-2022")</f>
        <v/>
      </c>
      <c r="AC26">
        <f>HYPERLINK("https://klasma.github.io/Logging_0604/tillsyn/A 26784-2022 tillsynsbegäran.docx", "A 26784-2022")</f>
        <v/>
      </c>
      <c r="AD26">
        <f>HYPERLINK("https://klasma.github.io/Logging_0604/tillsynsmail/A 26784-2022 tillsynsbegäran mail.docx", "A 26784-2022")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46250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HYPERLINK("https://klasma.github.io/Logging_0604/artfynd/A 24863-2024 artfynd.xlsx", "A 24863-2024")</f>
        <v/>
      </c>
      <c r="X27">
        <f>HYPERLINK("https://klasma.github.io/Logging_0604/kartor/A 24863-2024 karta.png", "A 24863-2024")</f>
        <v/>
      </c>
      <c r="Y27">
        <f>HYPERLINK("https://klasma.github.io/Logging_0604/kartor_geotiff/A 24863-2024 georefererad karta.tif", "A 24863-2024")</f>
        <v/>
      </c>
      <c r="AA27">
        <f>HYPERLINK("https://klasma.github.io/Logging_0604/klagomål/A 24863-2024 FSC-klagomål.docx", "A 24863-2024")</f>
        <v/>
      </c>
      <c r="AB27">
        <f>HYPERLINK("https://klasma.github.io/Logging_0604/klagomålsmail/A 24863-2024 FSC-klagomål mail.docx", "A 24863-2024")</f>
        <v/>
      </c>
      <c r="AC27">
        <f>HYPERLINK("https://klasma.github.io/Logging_0604/tillsyn/A 24863-2024 tillsynsbegäran.docx", "A 24863-2024")</f>
        <v/>
      </c>
      <c r="AD27">
        <f>HYPERLINK("https://klasma.github.io/Logging_0604/tillsynsmail/A 24863-2024 tillsynsbegäran mail.docx", "A 24863-2024")</f>
        <v/>
      </c>
      <c r="AE27">
        <f>HYPERLINK("https://klasma.github.io/Logging_0604/fåglar/A 24863-2024 prioriterade fågelarter.docx", "A 24863-2024")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46250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46250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46250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46250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46250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46250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46250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46250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46250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46250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Enkelbeckasin</t>
        </is>
      </c>
      <c r="W37">
        <f>HYPERLINK("https://klasma.github.io/Logging_0604/artfynd/A 8117-2025 artfynd.xlsx", "A 8117-2025")</f>
        <v/>
      </c>
      <c r="X37">
        <f>HYPERLINK("https://klasma.github.io/Logging_0604/kartor/A 8117-2025 karta.png", "A 8117-2025")</f>
        <v/>
      </c>
      <c r="Y37">
        <f>HYPERLINK("https://klasma.github.io/Logging_0604/kartor_geotiff/A 8117-2025 georefererad karta.tif", "A 8117-2025")</f>
        <v/>
      </c>
      <c r="AA37">
        <f>HYPERLINK("https://klasma.github.io/Logging_0604/klagomål/A 8117-2025 FSC-klagomål.docx", "A 8117-2025")</f>
        <v/>
      </c>
      <c r="AB37">
        <f>HYPERLINK("https://klasma.github.io/Logging_0604/klagomålsmail/A 8117-2025 FSC-klagomål mail.docx", "A 8117-2025")</f>
        <v/>
      </c>
      <c r="AC37">
        <f>HYPERLINK("https://klasma.github.io/Logging_0604/tillsyn/A 8117-2025 tillsynsbegäran.docx", "A 8117-2025")</f>
        <v/>
      </c>
      <c r="AD37">
        <f>HYPERLINK("https://klasma.github.io/Logging_0604/tillsynsmail/A 8117-2025 tillsynsbegäran mail.docx", "A 8117-2025")</f>
        <v/>
      </c>
      <c r="AE37">
        <f>HYPERLINK("https://klasma.github.io/Logging_0604/fåglar/A 8117-2025 prioriterade fågelarter.docx", "A 8117-2025")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46250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46250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46250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46250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46250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46250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46250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46250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46250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46250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46250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46250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46250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46250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46250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46250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46250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46250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46250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46250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46250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46250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46250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46250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46250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46250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46250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46250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46250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46250</v>
      </c>
      <c r="F70" t="inlineStr">
        <is>
          <t>JÖNKÖPINGS LÄN</t>
        </is>
      </c>
      <c r="G70" t="inlineStr">
        <is>
          <t>ANEBY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46250</v>
      </c>
      <c r="F71" t="inlineStr">
        <is>
          <t>JÖNKÖPINGS LÄN</t>
        </is>
      </c>
      <c r="G71" t="inlineStr">
        <is>
          <t>ANEBY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46250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49427-2023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45205</v>
      </c>
      <c r="E73" s="1" t="n">
        <v>46250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46250</v>
      </c>
      <c r="F74" t="inlineStr">
        <is>
          <t>JÖNKÖPINGS LÄN</t>
        </is>
      </c>
      <c r="G74" t="inlineStr">
        <is>
          <t>ANEBY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46250</v>
      </c>
      <c r="F75" t="inlineStr">
        <is>
          <t>JÖNKÖPINGS LÄN</t>
        </is>
      </c>
      <c r="G75" t="inlineStr">
        <is>
          <t>ANEBY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44700</v>
      </c>
      <c r="E76" s="1" t="n">
        <v>46250</v>
      </c>
      <c r="F76" t="inlineStr">
        <is>
          <t>JÖNKÖPINGS LÄN</t>
        </is>
      </c>
      <c r="G76" t="inlineStr">
        <is>
          <t>ANEBY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46250</v>
      </c>
      <c r="F77" t="inlineStr">
        <is>
          <t>JÖNKÖPINGS LÄN</t>
        </is>
      </c>
      <c r="G77" t="inlineStr">
        <is>
          <t>ANEBY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46250</v>
      </c>
      <c r="F78" t="inlineStr">
        <is>
          <t>JÖNKÖPINGS LÄN</t>
        </is>
      </c>
      <c r="G78" t="inlineStr">
        <is>
          <t>ANEBY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46250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46250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46250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46250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46250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46250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46250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46250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46250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46250</v>
      </c>
      <c r="F88" t="inlineStr">
        <is>
          <t>JÖNKÖPINGS LÄN</t>
        </is>
      </c>
      <c r="G88" t="inlineStr">
        <is>
          <t>ANEBY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46250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46250</v>
      </c>
      <c r="F90" t="inlineStr">
        <is>
          <t>JÖNKÖPINGS LÄN</t>
        </is>
      </c>
      <c r="G90" t="inlineStr">
        <is>
          <t>ANEBY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46250</v>
      </c>
      <c r="F91" t="inlineStr">
        <is>
          <t>JÖNKÖPINGS LÄN</t>
        </is>
      </c>
      <c r="G91" t="inlineStr">
        <is>
          <t>ANEBY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46250</v>
      </c>
      <c r="F92" t="inlineStr">
        <is>
          <t>JÖNKÖPINGS LÄN</t>
        </is>
      </c>
      <c r="G92" t="inlineStr">
        <is>
          <t>ANEBY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46250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46250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46250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46250</v>
      </c>
      <c r="F96" t="inlineStr">
        <is>
          <t>JÖNKÖPINGS LÄN</t>
        </is>
      </c>
      <c r="G96" t="inlineStr">
        <is>
          <t>ANEBY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45033</v>
      </c>
      <c r="E97" s="1" t="n">
        <v>46250</v>
      </c>
      <c r="F97" t="inlineStr">
        <is>
          <t>JÖNKÖPINGS LÄN</t>
        </is>
      </c>
      <c r="G97" t="inlineStr">
        <is>
          <t>ANEBY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45454</v>
      </c>
      <c r="E98" s="1" t="n">
        <v>46250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46250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44423</v>
      </c>
      <c r="E100" s="1" t="n">
        <v>46250</v>
      </c>
      <c r="F100" t="inlineStr">
        <is>
          <t>JÖNKÖPINGS LÄN</t>
        </is>
      </c>
      <c r="G100" t="inlineStr">
        <is>
          <t>ANEBY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46250</v>
      </c>
      <c r="F101" t="inlineStr">
        <is>
          <t>JÖNKÖPINGS LÄN</t>
        </is>
      </c>
      <c r="G101" t="inlineStr">
        <is>
          <t>ANEBY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46250</v>
      </c>
      <c r="F102" t="inlineStr">
        <is>
          <t>JÖNKÖPINGS LÄN</t>
        </is>
      </c>
      <c r="G102" t="inlineStr">
        <is>
          <t>ANEBY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46250</v>
      </c>
      <c r="F103" t="inlineStr">
        <is>
          <t>JÖNKÖPINGS LÄN</t>
        </is>
      </c>
      <c r="G103" t="inlineStr">
        <is>
          <t>ANEBY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46250</v>
      </c>
      <c r="F104" t="inlineStr">
        <is>
          <t>JÖNKÖPINGS LÄN</t>
        </is>
      </c>
      <c r="G104" t="inlineStr">
        <is>
          <t>ANEBY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46250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46250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46250</v>
      </c>
      <c r="F107" t="inlineStr">
        <is>
          <t>JÖNKÖPINGS LÄN</t>
        </is>
      </c>
      <c r="G107" t="inlineStr">
        <is>
          <t>ANEBY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44890</v>
      </c>
      <c r="E108" s="1" t="n">
        <v>46250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46250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45749</v>
      </c>
      <c r="E110" s="1" t="n">
        <v>46250</v>
      </c>
      <c r="F110" t="inlineStr">
        <is>
          <t>JÖNKÖPINGS LÄN</t>
        </is>
      </c>
      <c r="G110" t="inlineStr">
        <is>
          <t>ANEBY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46250</v>
      </c>
      <c r="F111" t="inlineStr">
        <is>
          <t>JÖNKÖPINGS LÄN</t>
        </is>
      </c>
      <c r="G111" t="inlineStr">
        <is>
          <t>ANEBY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46250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45467</v>
      </c>
      <c r="E113" s="1" t="n">
        <v>46250</v>
      </c>
      <c r="F113" t="inlineStr">
        <is>
          <t>JÖNKÖPINGS LÄN</t>
        </is>
      </c>
      <c r="G113" t="inlineStr">
        <is>
          <t>ANEBY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  <c r="Z113">
        <f>HYPERLINK("https://klasma.github.io/Logging_0604/knärot/A 25963-2024 karta knärot.png", "A 25963-2024")</f>
        <v/>
      </c>
      <c r="AA113">
        <f>HYPERLINK("https://klasma.github.io/Logging_0604/klagomål/A 25963-2024 FSC-klagomål.docx", "A 25963-2024")</f>
        <v/>
      </c>
      <c r="AB113">
        <f>HYPERLINK("https://klasma.github.io/Logging_0604/klagomålsmail/A 25963-2024 FSC-klagomål mail.docx", "A 25963-2024")</f>
        <v/>
      </c>
      <c r="AC113">
        <f>HYPERLINK("https://klasma.github.io/Logging_0604/tillsyn/A 25963-2024 tillsynsbegäran.docx", "A 25963-2024")</f>
        <v/>
      </c>
      <c r="AD113">
        <f>HYPERLINK("https://klasma.github.io/Logging_0604/tillsynsmail/A 25963-2024 tillsynsbegäran mail.docx", "A 25963-2024")</f>
        <v/>
      </c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46250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37343-2023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45156</v>
      </c>
      <c r="E115" s="1" t="n">
        <v>46250</v>
      </c>
      <c r="F115" t="inlineStr">
        <is>
          <t>JÖNKÖPINGS LÄN</t>
        </is>
      </c>
      <c r="G115" t="inlineStr">
        <is>
          <t>ANEBY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46250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19362-2025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46250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46250</v>
      </c>
      <c r="F118" t="inlineStr">
        <is>
          <t>JÖNKÖPINGS LÄN</t>
        </is>
      </c>
      <c r="G118" t="inlineStr">
        <is>
          <t>ANEBY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43528-2025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45911</v>
      </c>
      <c r="E119" s="1" t="n">
        <v>46250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73166-2021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46250</v>
      </c>
      <c r="F120" t="inlineStr">
        <is>
          <t>JÖNKÖPINGS LÄN</t>
        </is>
      </c>
      <c r="G120" t="inlineStr">
        <is>
          <t>ANEBY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46250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27714-2024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45475</v>
      </c>
      <c r="E122" s="1" t="n">
        <v>46250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46250</v>
      </c>
      <c r="F123" t="inlineStr">
        <is>
          <t>JÖNKÖPINGS LÄN</t>
        </is>
      </c>
      <c r="G123" t="inlineStr">
        <is>
          <t>ANEBY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46250</v>
      </c>
      <c r="F124" t="inlineStr">
        <is>
          <t>JÖNKÖPINGS LÄN</t>
        </is>
      </c>
      <c r="G124" t="inlineStr">
        <is>
          <t>ANEBY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46250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12477-2023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44999</v>
      </c>
      <c r="E126" s="1" t="n">
        <v>46250</v>
      </c>
      <c r="F126" t="inlineStr">
        <is>
          <t>JÖNKÖPINGS LÄN</t>
        </is>
      </c>
      <c r="G126" t="inlineStr">
        <is>
          <t>ANEBY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45304</v>
      </c>
      <c r="E127" s="1" t="n">
        <v>46250</v>
      </c>
      <c r="F127" t="inlineStr">
        <is>
          <t>JÖNKÖPINGS LÄN</t>
        </is>
      </c>
      <c r="G127" t="inlineStr">
        <is>
          <t>ANEBY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46250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46250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46250</v>
      </c>
      <c r="F130" t="inlineStr">
        <is>
          <t>JÖNKÖPINGS LÄN</t>
        </is>
      </c>
      <c r="G130" t="inlineStr">
        <is>
          <t>ANEBY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46250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46250</v>
      </c>
      <c r="F132" t="inlineStr">
        <is>
          <t>JÖNKÖPINGS LÄN</t>
        </is>
      </c>
      <c r="G132" t="inlineStr">
        <is>
          <t>ANEBY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45555</v>
      </c>
      <c r="E133" s="1" t="n">
        <v>46250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46250</v>
      </c>
      <c r="F134" t="inlineStr">
        <is>
          <t>JÖNKÖPINGS LÄN</t>
        </is>
      </c>
      <c r="G134" t="inlineStr">
        <is>
          <t>ANEBY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50744-2025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46250</v>
      </c>
      <c r="F135" t="inlineStr">
        <is>
          <t>JÖNKÖPINGS LÄN</t>
        </is>
      </c>
      <c r="G135" t="inlineStr">
        <is>
          <t>ANEBY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46098</v>
      </c>
      <c r="E136" s="1" t="n">
        <v>46250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20.7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45539</v>
      </c>
      <c r="E137" s="1" t="n">
        <v>46250</v>
      </c>
      <c r="F137" t="inlineStr">
        <is>
          <t>JÖNKÖPINGS LÄN</t>
        </is>
      </c>
      <c r="G137" t="inlineStr">
        <is>
          <t>ANEBY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45951</v>
      </c>
      <c r="E138" s="1" t="n">
        <v>46250</v>
      </c>
      <c r="F138" t="inlineStr">
        <is>
          <t>JÖNKÖPINGS LÄN</t>
        </is>
      </c>
      <c r="G138" t="inlineStr">
        <is>
          <t>ANEBY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46250</v>
      </c>
      <c r="F139" t="inlineStr">
        <is>
          <t>JÖNKÖPINGS LÄN</t>
        </is>
      </c>
      <c r="G139" t="inlineStr">
        <is>
          <t>ANEBY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46250</v>
      </c>
      <c r="F140" t="inlineStr">
        <is>
          <t>JÖNKÖPINGS LÄN</t>
        </is>
      </c>
      <c r="G140" t="inlineStr">
        <is>
          <t>ANEBY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46250</v>
      </c>
      <c r="F141" t="inlineStr">
        <is>
          <t>JÖNKÖPINGS LÄN</t>
        </is>
      </c>
      <c r="G141" t="inlineStr">
        <is>
          <t>ANEBY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46250</v>
      </c>
      <c r="F142" t="inlineStr">
        <is>
          <t>JÖNKÖPINGS LÄN</t>
        </is>
      </c>
      <c r="G142" t="inlineStr">
        <is>
          <t>ANEBY</t>
        </is>
      </c>
      <c r="H142" t="inlineStr">
        <is>
          <t>Sveaskog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46250</v>
      </c>
      <c r="F143" t="inlineStr">
        <is>
          <t>JÖNKÖPINGS LÄN</t>
        </is>
      </c>
      <c r="G143" t="inlineStr">
        <is>
          <t>ANEBY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46250</v>
      </c>
      <c r="F144" t="inlineStr">
        <is>
          <t>JÖNKÖPINGS LÄN</t>
        </is>
      </c>
      <c r="G144" t="inlineStr">
        <is>
          <t>ANEBY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46250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46250</v>
      </c>
      <c r="F146" t="inlineStr">
        <is>
          <t>JÖNKÖPINGS LÄN</t>
        </is>
      </c>
      <c r="G146" t="inlineStr">
        <is>
          <t>ANEBY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46250</v>
      </c>
      <c r="F147" t="inlineStr">
        <is>
          <t>JÖNKÖPINGS LÄN</t>
        </is>
      </c>
      <c r="G147" t="inlineStr">
        <is>
          <t>ANEBY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46250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46250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46250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46250</v>
      </c>
      <c r="F151" t="inlineStr">
        <is>
          <t>JÖNKÖPINGS LÄN</t>
        </is>
      </c>
      <c r="G151" t="inlineStr">
        <is>
          <t>ANEBY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46250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46250</v>
      </c>
      <c r="F153" t="inlineStr">
        <is>
          <t>JÖNKÖPINGS LÄN</t>
        </is>
      </c>
      <c r="G153" t="inlineStr">
        <is>
          <t>ANEBY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46250</v>
      </c>
      <c r="F154" t="inlineStr">
        <is>
          <t>JÖNKÖPINGS LÄN</t>
        </is>
      </c>
      <c r="G154" t="inlineStr">
        <is>
          <t>ANEBY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45586</v>
      </c>
      <c r="E155" s="1" t="n">
        <v>46250</v>
      </c>
      <c r="F155" t="inlineStr">
        <is>
          <t>JÖNKÖPINGS LÄN</t>
        </is>
      </c>
      <c r="G155" t="inlineStr">
        <is>
          <t>ANEBY</t>
        </is>
      </c>
      <c r="H155" t="inlineStr">
        <is>
          <t>Övriga Aktiebolag</t>
        </is>
      </c>
      <c r="I155" t="n">
        <v>18.6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46250</v>
      </c>
      <c r="F156" t="inlineStr">
        <is>
          <t>JÖNKÖPINGS LÄN</t>
        </is>
      </c>
      <c r="G156" t="inlineStr">
        <is>
          <t>ANEBY</t>
        </is>
      </c>
      <c r="H156" t="inlineStr">
        <is>
          <t>Övriga Aktiebolag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46250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67414-2021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46250</v>
      </c>
      <c r="F158" t="inlineStr">
        <is>
          <t>JÖNKÖPINGS LÄN</t>
        </is>
      </c>
      <c r="G158" t="inlineStr">
        <is>
          <t>ANEBY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44565</v>
      </c>
      <c r="E159" s="1" t="n">
        <v>46250</v>
      </c>
      <c r="F159" t="inlineStr">
        <is>
          <t>JÖNKÖPINGS LÄN</t>
        </is>
      </c>
      <c r="G159" t="inlineStr">
        <is>
          <t>ANEBY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44985</v>
      </c>
      <c r="E160" s="1" t="n">
        <v>46250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45978</v>
      </c>
      <c r="E161" s="1" t="n">
        <v>46250</v>
      </c>
      <c r="F161" t="inlineStr">
        <is>
          <t>JÖNKÖPINGS LÄN</t>
        </is>
      </c>
      <c r="G161" t="inlineStr">
        <is>
          <t>ANEBY</t>
        </is>
      </c>
      <c r="H161" t="inlineStr">
        <is>
          <t>Övriga Aktiebolag</t>
        </is>
      </c>
      <c r="I161" t="n">
        <v>19.6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46250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46250</v>
      </c>
      <c r="F163" t="inlineStr">
        <is>
          <t>JÖNKÖPINGS LÄN</t>
        </is>
      </c>
      <c r="G163" t="inlineStr">
        <is>
          <t>ANEBY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46250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58123-2025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46250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46250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46250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45727</v>
      </c>
      <c r="E168" s="1" t="n">
        <v>46250</v>
      </c>
      <c r="F168" t="inlineStr">
        <is>
          <t>JÖNKÖPINGS LÄN</t>
        </is>
      </c>
      <c r="G168" t="inlineStr">
        <is>
          <t>ANEBY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46250</v>
      </c>
      <c r="F169" t="inlineStr">
        <is>
          <t>JÖNKÖPINGS LÄN</t>
        </is>
      </c>
      <c r="G169" t="inlineStr">
        <is>
          <t>ANEBY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46250</v>
      </c>
      <c r="F170" t="inlineStr">
        <is>
          <t>JÖNKÖPINGS LÄN</t>
        </is>
      </c>
      <c r="G170" t="inlineStr">
        <is>
          <t>ANEBY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46250</v>
      </c>
      <c r="F171" t="inlineStr">
        <is>
          <t>JÖNKÖPINGS LÄN</t>
        </is>
      </c>
      <c r="G171" t="inlineStr">
        <is>
          <t>ANEBY</t>
        </is>
      </c>
      <c r="H171" t="inlineStr">
        <is>
          <t>Kyrkan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46250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46250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46250</v>
      </c>
      <c r="F174" t="inlineStr">
        <is>
          <t>JÖNKÖPINGS LÄN</t>
        </is>
      </c>
      <c r="G174" t="inlineStr">
        <is>
          <t>ANEBY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45020</v>
      </c>
      <c r="E175" s="1" t="n">
        <v>46250</v>
      </c>
      <c r="F175" t="inlineStr">
        <is>
          <t>JÖNKÖPINGS LÄN</t>
        </is>
      </c>
      <c r="G175" t="inlineStr">
        <is>
          <t>ANEBY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44957</v>
      </c>
      <c r="E176" s="1" t="n">
        <v>46250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46250</v>
      </c>
      <c r="F177" t="inlineStr">
        <is>
          <t>JÖNKÖPINGS LÄN</t>
        </is>
      </c>
      <c r="G177" t="inlineStr">
        <is>
          <t>ANEBY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46250</v>
      </c>
      <c r="F178" t="inlineStr">
        <is>
          <t>JÖNKÖPINGS LÄN</t>
        </is>
      </c>
      <c r="G178" t="inlineStr">
        <is>
          <t>ANEBY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46250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46250</v>
      </c>
      <c r="F180" t="inlineStr">
        <is>
          <t>JÖNKÖPINGS LÄN</t>
        </is>
      </c>
      <c r="G180" t="inlineStr">
        <is>
          <t>ANEBY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46250</v>
      </c>
      <c r="F181" t="inlineStr">
        <is>
          <t>JÖNKÖPINGS LÄN</t>
        </is>
      </c>
      <c r="G181" t="inlineStr">
        <is>
          <t>ANEBY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46126</v>
      </c>
      <c r="E182" s="1" t="n">
        <v>46250</v>
      </c>
      <c r="F182" t="inlineStr">
        <is>
          <t>JÖNKÖPINGS LÄN</t>
        </is>
      </c>
      <c r="G182" t="inlineStr">
        <is>
          <t>ANEBY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51331-2021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46250</v>
      </c>
      <c r="F183" t="inlineStr">
        <is>
          <t>JÖNKÖPINGS LÄN</t>
        </is>
      </c>
      <c r="G183" t="inlineStr">
        <is>
          <t>ANEBY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46250</v>
      </c>
      <c r="F184" t="inlineStr">
        <is>
          <t>JÖNKÖPINGS LÄN</t>
        </is>
      </c>
      <c r="G184" t="inlineStr">
        <is>
          <t>ANEBY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35773-2023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45148</v>
      </c>
      <c r="E185" s="1" t="n">
        <v>46250</v>
      </c>
      <c r="F185" t="inlineStr">
        <is>
          <t>JÖNKÖPINGS LÄN</t>
        </is>
      </c>
      <c r="G185" t="inlineStr">
        <is>
          <t>ANEBY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46250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46250</v>
      </c>
      <c r="F187" t="inlineStr">
        <is>
          <t>JÖNKÖPINGS LÄN</t>
        </is>
      </c>
      <c r="G187" t="inlineStr">
        <is>
          <t>ANEBY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46250</v>
      </c>
      <c r="F188" t="inlineStr">
        <is>
          <t>JÖNKÖPINGS LÄN</t>
        </is>
      </c>
      <c r="G188" t="inlineStr">
        <is>
          <t>ANEBY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46250</v>
      </c>
      <c r="F189" t="inlineStr">
        <is>
          <t>JÖNKÖPINGS LÄN</t>
        </is>
      </c>
      <c r="G189" t="inlineStr">
        <is>
          <t>ANEBY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46250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46250</v>
      </c>
      <c r="F191" t="inlineStr">
        <is>
          <t>JÖNKÖPINGS LÄN</t>
        </is>
      </c>
      <c r="G191" t="inlineStr">
        <is>
          <t>ANEBY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46250</v>
      </c>
      <c r="F192" t="inlineStr">
        <is>
          <t>JÖNKÖPINGS LÄN</t>
        </is>
      </c>
      <c r="G192" t="inlineStr">
        <is>
          <t>ANEBY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46250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45363</v>
      </c>
      <c r="E194" s="1" t="n">
        <v>46250</v>
      </c>
      <c r="F194" t="inlineStr">
        <is>
          <t>JÖNKÖPINGS LÄN</t>
        </is>
      </c>
      <c r="G194" t="inlineStr">
        <is>
          <t>ANEBY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46250</v>
      </c>
      <c r="F195" t="inlineStr">
        <is>
          <t>JÖNKÖPINGS LÄN</t>
        </is>
      </c>
      <c r="G195" t="inlineStr">
        <is>
          <t>ANEBY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45552</v>
      </c>
      <c r="E196" s="1" t="n">
        <v>46250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46250</v>
      </c>
      <c r="F197" t="inlineStr">
        <is>
          <t>JÖNKÖPINGS LÄN</t>
        </is>
      </c>
      <c r="G197" t="inlineStr">
        <is>
          <t>ANEBY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46250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46250</v>
      </c>
      <c r="F199" t="inlineStr">
        <is>
          <t>JÖNKÖPINGS LÄN</t>
        </is>
      </c>
      <c r="G199" t="inlineStr">
        <is>
          <t>ANEBY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43613-2023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45184</v>
      </c>
      <c r="E200" s="1" t="n">
        <v>46250</v>
      </c>
      <c r="F200" t="inlineStr">
        <is>
          <t>JÖNKÖPINGS LÄN</t>
        </is>
      </c>
      <c r="G200" t="inlineStr">
        <is>
          <t>ANEBY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46250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703-2024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45300</v>
      </c>
      <c r="E202" s="1" t="n">
        <v>46250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46250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46250</v>
      </c>
      <c r="F204" t="inlineStr">
        <is>
          <t>JÖNKÖPINGS LÄN</t>
        </is>
      </c>
      <c r="G204" t="inlineStr">
        <is>
          <t>ANEBY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44482</v>
      </c>
      <c r="E205" s="1" t="n">
        <v>46250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46250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45076</v>
      </c>
      <c r="E207" s="1" t="n">
        <v>46250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46250</v>
      </c>
      <c r="F208" t="inlineStr">
        <is>
          <t>JÖNKÖPINGS LÄN</t>
        </is>
      </c>
      <c r="G208" t="inlineStr">
        <is>
          <t>ANEBY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46250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46250</v>
      </c>
      <c r="F210" t="inlineStr">
        <is>
          <t>JÖNKÖPINGS LÄN</t>
        </is>
      </c>
      <c r="G210" t="inlineStr">
        <is>
          <t>ANEBY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46250</v>
      </c>
      <c r="F211" t="inlineStr">
        <is>
          <t>JÖNKÖPINGS LÄN</t>
        </is>
      </c>
      <c r="G211" t="inlineStr">
        <is>
          <t>ANEBY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46250</v>
      </c>
      <c r="F212" t="inlineStr">
        <is>
          <t>JÖNKÖPINGS LÄN</t>
        </is>
      </c>
      <c r="G212" t="inlineStr">
        <is>
          <t>ANEBY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46250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45653</v>
      </c>
      <c r="E214" s="1" t="n">
        <v>46250</v>
      </c>
      <c r="F214" t="inlineStr">
        <is>
          <t>JÖNKÖPINGS LÄN</t>
        </is>
      </c>
      <c r="G214" t="inlineStr">
        <is>
          <t>ANEBY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46250</v>
      </c>
      <c r="F215" t="inlineStr">
        <is>
          <t>JÖNKÖPINGS LÄN</t>
        </is>
      </c>
      <c r="G215" t="inlineStr">
        <is>
          <t>ANEBY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44477</v>
      </c>
      <c r="E216" s="1" t="n">
        <v>46250</v>
      </c>
      <c r="F216" t="inlineStr">
        <is>
          <t>JÖNKÖPINGS LÄN</t>
        </is>
      </c>
      <c r="G216" t="inlineStr">
        <is>
          <t>ANEBY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46250</v>
      </c>
      <c r="F217" t="inlineStr">
        <is>
          <t>JÖNKÖPINGS LÄN</t>
        </is>
      </c>
      <c r="G217" t="inlineStr">
        <is>
          <t>ANEBY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46250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46250</v>
      </c>
      <c r="F219" t="inlineStr">
        <is>
          <t>JÖNKÖPINGS LÄN</t>
        </is>
      </c>
      <c r="G219" t="inlineStr">
        <is>
          <t>ANEBY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44985</v>
      </c>
      <c r="E220" s="1" t="n">
        <v>46250</v>
      </c>
      <c r="F220" t="inlineStr">
        <is>
          <t>JÖNKÖPINGS LÄN</t>
        </is>
      </c>
      <c r="G220" t="inlineStr">
        <is>
          <t>ANEBY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46250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46250</v>
      </c>
      <c r="F222" t="inlineStr">
        <is>
          <t>JÖNKÖPINGS LÄN</t>
        </is>
      </c>
      <c r="G222" t="inlineStr">
        <is>
          <t>ANEBY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46250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45439</v>
      </c>
      <c r="E224" s="1" t="n">
        <v>46250</v>
      </c>
      <c r="F224" t="inlineStr">
        <is>
          <t>JÖNKÖPINGS LÄN</t>
        </is>
      </c>
      <c r="G224" t="inlineStr">
        <is>
          <t>ANEBY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46250</v>
      </c>
      <c r="F225" t="inlineStr">
        <is>
          <t>JÖNKÖPINGS LÄN</t>
        </is>
      </c>
      <c r="G225" t="inlineStr">
        <is>
          <t>ANEBY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46057</v>
      </c>
      <c r="E226" s="1" t="n">
        <v>46250</v>
      </c>
      <c r="F226" t="inlineStr">
        <is>
          <t>JÖNKÖPINGS LÄN</t>
        </is>
      </c>
      <c r="G226" t="inlineStr">
        <is>
          <t>ANEBY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46250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10456-2023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44981</v>
      </c>
      <c r="E228" s="1" t="n">
        <v>46250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46250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46058</v>
      </c>
      <c r="E230" s="1" t="n">
        <v>46250</v>
      </c>
      <c r="F230" t="inlineStr">
        <is>
          <t>JÖNKÖPINGS LÄN</t>
        </is>
      </c>
      <c r="G230" t="inlineStr">
        <is>
          <t>ANEBY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46250</v>
      </c>
      <c r="F231" t="inlineStr">
        <is>
          <t>JÖNKÖPINGS LÄN</t>
        </is>
      </c>
      <c r="G231" t="inlineStr">
        <is>
          <t>ANEBY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46250</v>
      </c>
      <c r="F232" t="inlineStr">
        <is>
          <t>JÖNKÖPINGS LÄN</t>
        </is>
      </c>
      <c r="G232" t="inlineStr">
        <is>
          <t>ANEBY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46250</v>
      </c>
      <c r="F233" t="inlineStr">
        <is>
          <t>JÖNKÖPINGS LÄN</t>
        </is>
      </c>
      <c r="G233" t="inlineStr">
        <is>
          <t>ANEBY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46250</v>
      </c>
      <c r="F234" t="inlineStr">
        <is>
          <t>JÖNKÖPINGS LÄN</t>
        </is>
      </c>
      <c r="G234" t="inlineStr">
        <is>
          <t>ANEBY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46250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46250</v>
      </c>
      <c r="F236" t="inlineStr">
        <is>
          <t>JÖNKÖPINGS LÄN</t>
        </is>
      </c>
      <c r="G236" t="inlineStr">
        <is>
          <t>ANEBY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45016</v>
      </c>
      <c r="E237" s="1" t="n">
        <v>46250</v>
      </c>
      <c r="F237" t="inlineStr">
        <is>
          <t>JÖNKÖPINGS LÄN</t>
        </is>
      </c>
      <c r="G237" t="inlineStr">
        <is>
          <t>ANEBY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46250</v>
      </c>
      <c r="F238" t="inlineStr">
        <is>
          <t>JÖNKÖPINGS LÄN</t>
        </is>
      </c>
      <c r="G238" t="inlineStr">
        <is>
          <t>ANEBY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23354-2023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45076</v>
      </c>
      <c r="E239" s="1" t="n">
        <v>46250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46250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46250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46250</v>
      </c>
      <c r="F242" t="inlineStr">
        <is>
          <t>JÖNKÖPINGS LÄN</t>
        </is>
      </c>
      <c r="G242" t="inlineStr">
        <is>
          <t>ANEBY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46250</v>
      </c>
      <c r="F243" t="inlineStr">
        <is>
          <t>JÖNKÖPINGS LÄN</t>
        </is>
      </c>
      <c r="G243" t="inlineStr">
        <is>
          <t>ANEBY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46073</v>
      </c>
      <c r="E244" s="1" t="n">
        <v>46250</v>
      </c>
      <c r="F244" t="inlineStr">
        <is>
          <t>JÖNKÖPINGS LÄN</t>
        </is>
      </c>
      <c r="G244" t="inlineStr">
        <is>
          <t>ANEBY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46250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45378</v>
      </c>
      <c r="E246" s="1" t="n">
        <v>46250</v>
      </c>
      <c r="F246" t="inlineStr">
        <is>
          <t>JÖNKÖPINGS LÄN</t>
        </is>
      </c>
      <c r="G246" t="inlineStr">
        <is>
          <t>ANEBY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45086</v>
      </c>
      <c r="E247" s="1" t="n">
        <v>46250</v>
      </c>
      <c r="F247" t="inlineStr">
        <is>
          <t>JÖNKÖPINGS LÄN</t>
        </is>
      </c>
      <c r="G247" t="inlineStr">
        <is>
          <t>ANEBY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45236</v>
      </c>
      <c r="E248" s="1" t="n">
        <v>46250</v>
      </c>
      <c r="F248" t="inlineStr">
        <is>
          <t>JÖNKÖPINGS LÄN</t>
        </is>
      </c>
      <c r="G248" t="inlineStr">
        <is>
          <t>ANEBY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45033</v>
      </c>
      <c r="E249" s="1" t="n">
        <v>46250</v>
      </c>
      <c r="F249" t="inlineStr">
        <is>
          <t>JÖNKÖPINGS LÄN</t>
        </is>
      </c>
      <c r="G249" t="inlineStr">
        <is>
          <t>ANEBY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51185-2021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44461</v>
      </c>
      <c r="E250" s="1" t="n">
        <v>46250</v>
      </c>
      <c r="F250" t="inlineStr">
        <is>
          <t>JÖNKÖPINGS LÄN</t>
        </is>
      </c>
      <c r="G250" t="inlineStr">
        <is>
          <t>ANEBY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45089</v>
      </c>
      <c r="E251" s="1" t="n">
        <v>46250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46250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21356-2026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46147</v>
      </c>
      <c r="E253" s="1" t="n">
        <v>46250</v>
      </c>
      <c r="F253" t="inlineStr">
        <is>
          <t>JÖNKÖPINGS LÄN</t>
        </is>
      </c>
      <c r="G253" t="inlineStr">
        <is>
          <t>ANEBY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46250</v>
      </c>
      <c r="F254" t="inlineStr">
        <is>
          <t>JÖNKÖPINGS LÄN</t>
        </is>
      </c>
      <c r="G254" t="inlineStr">
        <is>
          <t>ANEBY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46250</v>
      </c>
      <c r="F255" t="inlineStr">
        <is>
          <t>JÖNKÖPINGS LÄN</t>
        </is>
      </c>
      <c r="G255" t="inlineStr">
        <is>
          <t>ANEBY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46250</v>
      </c>
      <c r="F256" t="inlineStr">
        <is>
          <t>JÖNKÖPINGS LÄN</t>
        </is>
      </c>
      <c r="G256" t="inlineStr">
        <is>
          <t>ANEBY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46250</v>
      </c>
      <c r="F257" t="inlineStr">
        <is>
          <t>JÖNKÖPINGS LÄN</t>
        </is>
      </c>
      <c r="G257" t="inlineStr">
        <is>
          <t>ANEBY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45007</v>
      </c>
      <c r="E258" s="1" t="n">
        <v>46250</v>
      </c>
      <c r="F258" t="inlineStr">
        <is>
          <t>JÖNKÖPINGS LÄN</t>
        </is>
      </c>
      <c r="G258" t="inlineStr">
        <is>
          <t>ANEBY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45384</v>
      </c>
      <c r="E259" s="1" t="n">
        <v>46250</v>
      </c>
      <c r="F259" t="inlineStr">
        <is>
          <t>JÖNKÖPINGS LÄN</t>
        </is>
      </c>
      <c r="G259" t="inlineStr">
        <is>
          <t>ANEBY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46250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59507-2022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46250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46250</v>
      </c>
      <c r="F262" t="inlineStr">
        <is>
          <t>JÖNKÖPINGS LÄN</t>
        </is>
      </c>
      <c r="G262" t="inlineStr">
        <is>
          <t>ANEBY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46250</v>
      </c>
      <c r="F263" t="inlineStr">
        <is>
          <t>JÖNKÖPINGS LÄN</t>
        </is>
      </c>
      <c r="G263" t="inlineStr">
        <is>
          <t>ANEBY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56735-2021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44481</v>
      </c>
      <c r="E264" s="1" t="n">
        <v>46250</v>
      </c>
      <c r="F264" t="inlineStr">
        <is>
          <t>JÖNKÖPINGS LÄN</t>
        </is>
      </c>
      <c r="G264" t="inlineStr">
        <is>
          <t>ANEBY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46250</v>
      </c>
      <c r="F265" t="inlineStr">
        <is>
          <t>JÖNKÖPINGS LÄN</t>
        </is>
      </c>
      <c r="G265" t="inlineStr">
        <is>
          <t>ANEBY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46250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46250</v>
      </c>
      <c r="F267" t="inlineStr">
        <is>
          <t>JÖNKÖPINGS LÄN</t>
        </is>
      </c>
      <c r="G267" t="inlineStr">
        <is>
          <t>ANEBY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45122</v>
      </c>
      <c r="E268" s="1" t="n">
        <v>46250</v>
      </c>
      <c r="F268" t="inlineStr">
        <is>
          <t>JÖNKÖPINGS LÄN</t>
        </is>
      </c>
      <c r="G268" t="inlineStr">
        <is>
          <t>ANEBY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46250</v>
      </c>
      <c r="F269" t="inlineStr">
        <is>
          <t>JÖNKÖPINGS LÄN</t>
        </is>
      </c>
      <c r="G269" t="inlineStr">
        <is>
          <t>ANEBY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46250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46250</v>
      </c>
      <c r="F271" t="inlineStr">
        <is>
          <t>JÖNKÖPINGS LÄN</t>
        </is>
      </c>
      <c r="G271" t="inlineStr">
        <is>
          <t>ANEBY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46250</v>
      </c>
      <c r="F272" t="inlineStr">
        <is>
          <t>JÖNKÖPINGS LÄN</t>
        </is>
      </c>
      <c r="G272" t="inlineStr">
        <is>
          <t>ANEBY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46250</v>
      </c>
      <c r="F273" t="inlineStr">
        <is>
          <t>JÖNKÖPINGS LÄN</t>
        </is>
      </c>
      <c r="G273" t="inlineStr">
        <is>
          <t>ANEBY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37690-2023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46250</v>
      </c>
      <c r="F274" t="inlineStr">
        <is>
          <t>JÖNKÖPINGS LÄN</t>
        </is>
      </c>
      <c r="G274" t="inlineStr">
        <is>
          <t>ANEBY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46250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44959</v>
      </c>
      <c r="E276" s="1" t="n">
        <v>46250</v>
      </c>
      <c r="F276" t="inlineStr">
        <is>
          <t>JÖNKÖPINGS LÄN</t>
        </is>
      </c>
      <c r="G276" t="inlineStr">
        <is>
          <t>ANEBY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45304</v>
      </c>
      <c r="E277" s="1" t="n">
        <v>46250</v>
      </c>
      <c r="F277" t="inlineStr">
        <is>
          <t>JÖNKÖPINGS LÄN</t>
        </is>
      </c>
      <c r="G277" t="inlineStr">
        <is>
          <t>ANEBY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46250</v>
      </c>
      <c r="F278" t="inlineStr">
        <is>
          <t>JÖNKÖPINGS LÄN</t>
        </is>
      </c>
      <c r="G278" t="inlineStr">
        <is>
          <t>ANEBY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12834-2023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45001</v>
      </c>
      <c r="E279" s="1" t="n">
        <v>46250</v>
      </c>
      <c r="F279" t="inlineStr">
        <is>
          <t>JÖNKÖPINGS LÄN</t>
        </is>
      </c>
      <c r="G279" t="inlineStr">
        <is>
          <t>ANEBY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38794-2023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45161</v>
      </c>
      <c r="E280" s="1" t="n">
        <v>46250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46250</v>
      </c>
      <c r="F281" t="inlineStr">
        <is>
          <t>JÖNKÖPINGS LÄN</t>
        </is>
      </c>
      <c r="G281" t="inlineStr">
        <is>
          <t>ANEBY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46250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46250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45698</v>
      </c>
      <c r="E284" s="1" t="n">
        <v>46250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46250</v>
      </c>
      <c r="F285" t="inlineStr">
        <is>
          <t>JÖNKÖPINGS LÄN</t>
        </is>
      </c>
      <c r="G285" t="inlineStr">
        <is>
          <t>ANEBY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45552</v>
      </c>
      <c r="E286" s="1" t="n">
        <v>46250</v>
      </c>
      <c r="F286" t="inlineStr">
        <is>
          <t>JÖNKÖPINGS LÄN</t>
        </is>
      </c>
      <c r="G286" t="inlineStr">
        <is>
          <t>ANEBY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46250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51160-2021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44461</v>
      </c>
      <c r="E288" s="1" t="n">
        <v>46250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46250</v>
      </c>
      <c r="F289" t="inlineStr">
        <is>
          <t>JÖNKÖPINGS LÄN</t>
        </is>
      </c>
      <c r="G289" t="inlineStr">
        <is>
          <t>ANEBY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46250</v>
      </c>
      <c r="F290" t="inlineStr">
        <is>
          <t>JÖNKÖPINGS LÄN</t>
        </is>
      </c>
      <c r="G290" t="inlineStr">
        <is>
          <t>ANEBY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46250</v>
      </c>
      <c r="F291" t="inlineStr">
        <is>
          <t>JÖNKÖPINGS LÄN</t>
        </is>
      </c>
      <c r="G291" t="inlineStr">
        <is>
          <t>ANEBY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46250</v>
      </c>
      <c r="F292" t="inlineStr">
        <is>
          <t>JÖNKÖPINGS LÄN</t>
        </is>
      </c>
      <c r="G292" t="inlineStr">
        <is>
          <t>ANEBY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46250</v>
      </c>
      <c r="F293" t="inlineStr">
        <is>
          <t>JÖNKÖPINGS LÄN</t>
        </is>
      </c>
      <c r="G293" t="inlineStr">
        <is>
          <t>ANEBY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45600</v>
      </c>
      <c r="E294" s="1" t="n">
        <v>46250</v>
      </c>
      <c r="F294" t="inlineStr">
        <is>
          <t>JÖNKÖPINGS LÄN</t>
        </is>
      </c>
      <c r="G294" t="inlineStr">
        <is>
          <t>ANEBY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46214</v>
      </c>
      <c r="E295" s="1" t="n">
        <v>46250</v>
      </c>
      <c r="F295" t="inlineStr">
        <is>
          <t>JÖNKÖPINGS LÄN</t>
        </is>
      </c>
      <c r="G295" t="inlineStr">
        <is>
          <t>ANEBY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46214</v>
      </c>
      <c r="E296" s="1" t="n">
        <v>46250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46214</v>
      </c>
      <c r="E297" s="1" t="n">
        <v>46250</v>
      </c>
      <c r="F297" t="inlineStr">
        <is>
          <t>JÖNKÖPINGS LÄN</t>
        </is>
      </c>
      <c r="G297" t="inlineStr">
        <is>
          <t>ANEBY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46171</v>
      </c>
      <c r="E298" s="1" t="n">
        <v>46250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46250</v>
      </c>
      <c r="F299" t="inlineStr">
        <is>
          <t>JÖNKÖPINGS LÄN</t>
        </is>
      </c>
      <c r="G299" t="inlineStr">
        <is>
          <t>ANEBY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54213-2024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45616</v>
      </c>
      <c r="E300" s="1" t="n">
        <v>46250</v>
      </c>
      <c r="F300" t="inlineStr">
        <is>
          <t>JÖNKÖPINGS LÄN</t>
        </is>
      </c>
      <c r="G300" t="inlineStr">
        <is>
          <t>ANEBY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38873-2023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46250</v>
      </c>
      <c r="F301" t="inlineStr">
        <is>
          <t>JÖNKÖPINGS LÄN</t>
        </is>
      </c>
      <c r="G301" t="inlineStr">
        <is>
          <t>ANEBY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44578</v>
      </c>
      <c r="E302" s="1" t="n">
        <v>46250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46250</v>
      </c>
      <c r="F303" t="inlineStr">
        <is>
          <t>JÖNKÖPINGS LÄN</t>
        </is>
      </c>
      <c r="G303" t="inlineStr">
        <is>
          <t>ANEBY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46250</v>
      </c>
      <c r="F304" t="inlineStr">
        <is>
          <t>JÖNKÖPINGS LÄN</t>
        </is>
      </c>
      <c r="G304" t="inlineStr">
        <is>
          <t>ANEBY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46250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46250</v>
      </c>
      <c r="F306" t="inlineStr">
        <is>
          <t>JÖNKÖPINGS LÄN</t>
        </is>
      </c>
      <c r="G306" t="inlineStr">
        <is>
          <t>ANEBY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45124</v>
      </c>
      <c r="E307" s="1" t="n">
        <v>46250</v>
      </c>
      <c r="F307" t="inlineStr">
        <is>
          <t>JÖNKÖPINGS LÄN</t>
        </is>
      </c>
      <c r="G307" t="inlineStr">
        <is>
          <t>ANEBY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46250</v>
      </c>
      <c r="F308" t="inlineStr">
        <is>
          <t>JÖNKÖPINGS LÄN</t>
        </is>
      </c>
      <c r="G308" t="inlineStr">
        <is>
          <t>ANEBY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45000</v>
      </c>
      <c r="E309" s="1" t="n">
        <v>46250</v>
      </c>
      <c r="F309" t="inlineStr">
        <is>
          <t>JÖNKÖPINGS LÄN</t>
        </is>
      </c>
      <c r="G309" t="inlineStr">
        <is>
          <t>ANEBY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46250</v>
      </c>
      <c r="F310" t="inlineStr">
        <is>
          <t>JÖNKÖPINGS LÄN</t>
        </is>
      </c>
      <c r="G310" t="inlineStr">
        <is>
          <t>ANEBY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46250</v>
      </c>
      <c r="F311" t="inlineStr">
        <is>
          <t>JÖNKÖPINGS LÄN</t>
        </is>
      </c>
      <c r="G311" t="inlineStr">
        <is>
          <t>ANEBY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46250</v>
      </c>
      <c r="F312" t="inlineStr">
        <is>
          <t>JÖNKÖPINGS LÄN</t>
        </is>
      </c>
      <c r="G312" t="inlineStr">
        <is>
          <t>ANEBY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46250</v>
      </c>
      <c r="F313" t="inlineStr">
        <is>
          <t>JÖNKÖPINGS LÄN</t>
        </is>
      </c>
      <c r="G313" t="inlineStr">
        <is>
          <t>ANEBY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46250</v>
      </c>
      <c r="F314" t="inlineStr">
        <is>
          <t>JÖNKÖPINGS LÄN</t>
        </is>
      </c>
      <c r="G314" t="inlineStr">
        <is>
          <t>ANEBY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46250</v>
      </c>
      <c r="F315" t="inlineStr">
        <is>
          <t>JÖNKÖPINGS LÄN</t>
        </is>
      </c>
      <c r="G315" t="inlineStr">
        <is>
          <t>ANEBY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46250</v>
      </c>
      <c r="F316" t="inlineStr">
        <is>
          <t>JÖNKÖPINGS LÄN</t>
        </is>
      </c>
      <c r="G316" t="inlineStr">
        <is>
          <t>ANEBY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45610</v>
      </c>
      <c r="E317" s="1" t="n">
        <v>46250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45364</v>
      </c>
      <c r="E318" s="1" t="n">
        <v>46250</v>
      </c>
      <c r="F318" t="inlineStr">
        <is>
          <t>JÖNKÖPINGS LÄN</t>
        </is>
      </c>
      <c r="G318" t="inlineStr">
        <is>
          <t>ANEBY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46250</v>
      </c>
      <c r="F319" t="inlineStr">
        <is>
          <t>JÖNKÖPINGS LÄN</t>
        </is>
      </c>
      <c r="G319" t="inlineStr">
        <is>
          <t>ANEBY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46224</v>
      </c>
      <c r="E320" s="1" t="n">
        <v>46250</v>
      </c>
      <c r="F320" t="inlineStr">
        <is>
          <t>JÖNKÖPINGS LÄN</t>
        </is>
      </c>
      <c r="G320" t="inlineStr">
        <is>
          <t>ANEBY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46250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46250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46250</v>
      </c>
      <c r="F323" t="inlineStr">
        <is>
          <t>JÖNKÖPINGS LÄN</t>
        </is>
      </c>
      <c r="G323" t="inlineStr">
        <is>
          <t>ANEBY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46250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46250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46250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46250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16.8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46250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46250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46250</v>
      </c>
      <c r="F330" t="inlineStr">
        <is>
          <t>JÖNKÖPINGS LÄN</t>
        </is>
      </c>
      <c r="G330" t="inlineStr">
        <is>
          <t>ANEBY</t>
        </is>
      </c>
      <c r="I330" t="n">
        <v>17.9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46250</v>
      </c>
      <c r="F331" t="inlineStr">
        <is>
          <t>JÖNKÖPINGS LÄN</t>
        </is>
      </c>
      <c r="G331" t="inlineStr">
        <is>
          <t>ANEBY</t>
        </is>
      </c>
      <c r="H331" t="inlineStr">
        <is>
          <t>Övriga Aktiebolag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44705</v>
      </c>
      <c r="E332" s="1" t="n">
        <v>46250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46250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46250</v>
      </c>
      <c r="F334" t="inlineStr">
        <is>
          <t>JÖNKÖPINGS LÄN</t>
        </is>
      </c>
      <c r="G334" t="inlineStr">
        <is>
          <t>ANEBY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45838</v>
      </c>
      <c r="E335" s="1" t="n">
        <v>46250</v>
      </c>
      <c r="F335" t="inlineStr">
        <is>
          <t>JÖNKÖPINGS LÄN</t>
        </is>
      </c>
      <c r="G335" t="inlineStr">
        <is>
          <t>ANEBY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44623</v>
      </c>
      <c r="E336" s="1" t="n">
        <v>46250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46250</v>
      </c>
      <c r="F337" t="inlineStr">
        <is>
          <t>JÖNKÖPINGS LÄN</t>
        </is>
      </c>
      <c r="G337" t="inlineStr">
        <is>
          <t>ANEBY</t>
        </is>
      </c>
      <c r="H337" t="inlineStr">
        <is>
          <t>Kyrkan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46250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46250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45688</v>
      </c>
      <c r="E340" s="1" t="n">
        <v>46250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46250</v>
      </c>
      <c r="F341" t="inlineStr">
        <is>
          <t>JÖNKÖPINGS LÄN</t>
        </is>
      </c>
      <c r="G341" t="inlineStr">
        <is>
          <t>ANEBY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46250</v>
      </c>
      <c r="F342" t="inlineStr">
        <is>
          <t>JÖNKÖPINGS LÄN</t>
        </is>
      </c>
      <c r="G342" t="inlineStr">
        <is>
          <t>ANEBY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46250</v>
      </c>
      <c r="F343" t="inlineStr">
        <is>
          <t>JÖNKÖPINGS LÄN</t>
        </is>
      </c>
      <c r="G343" t="inlineStr">
        <is>
          <t>ANEBY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805-2022</t>
        </is>
      </c>
      <c r="B344" t="inlineStr">
        <is>
          <t>samrådsanmälan</t>
        </is>
      </c>
      <c r="C344" t="inlineStr">
        <is>
          <t>Skogsbilväg</t>
        </is>
      </c>
      <c r="D344" s="1" t="n">
        <v>44603</v>
      </c>
      <c r="E344" s="1" t="n">
        <v>46250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5767-2022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44848</v>
      </c>
      <c r="E345" s="1" t="n">
        <v>46250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6633-2022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44886</v>
      </c>
      <c r="E346" s="1" t="n">
        <v>46250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1677-2023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45063</v>
      </c>
      <c r="E347" s="1" t="n">
        <v>46250</v>
      </c>
      <c r="F347" t="inlineStr">
        <is>
          <t>JÖNKÖPINGS LÄN</t>
        </is>
      </c>
      <c r="G347" t="inlineStr">
        <is>
          <t>ANEBY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7492-2021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44475</v>
      </c>
      <c r="E348" s="1" t="n">
        <v>46250</v>
      </c>
      <c r="F348" t="inlineStr">
        <is>
          <t>JÖNKÖPINGS LÄN</t>
        </is>
      </c>
      <c r="G348" t="inlineStr">
        <is>
          <t>ANEBY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3586-2024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45546</v>
      </c>
      <c r="E349" s="1" t="n">
        <v>46250</v>
      </c>
      <c r="F349" t="inlineStr">
        <is>
          <t>JÖNKÖPINGS LÄN</t>
        </is>
      </c>
      <c r="G349" t="inlineStr">
        <is>
          <t>ANEBY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6631-2022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46250</v>
      </c>
      <c r="F350" t="inlineStr">
        <is>
          <t>JÖNKÖPINGS LÄN</t>
        </is>
      </c>
      <c r="G350" t="inlineStr">
        <is>
          <t>ANEBY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1729-2023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45069</v>
      </c>
      <c r="E351" s="1" t="n">
        <v>46250</v>
      </c>
      <c r="F351" t="inlineStr">
        <is>
          <t>JÖNKÖPINGS LÄN</t>
        </is>
      </c>
      <c r="G351" t="inlineStr">
        <is>
          <t>ANEBY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2550-2023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45135</v>
      </c>
      <c r="E352" s="1" t="n">
        <v>46250</v>
      </c>
      <c r="F352" t="inlineStr">
        <is>
          <t>JÖNKÖPINGS LÄN</t>
        </is>
      </c>
      <c r="G352" t="inlineStr">
        <is>
          <t>ANEBY</t>
        </is>
      </c>
      <c r="I352" t="n">
        <v>58.3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6634-2022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46250</v>
      </c>
      <c r="F353" t="inlineStr">
        <is>
          <t>JÖNKÖPINGS LÄN</t>
        </is>
      </c>
      <c r="G353" t="inlineStr">
        <is>
          <t>ANEBY</t>
        </is>
      </c>
      <c r="I353" t="n">
        <v>34.3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6623-2022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46250</v>
      </c>
      <c r="F354" t="inlineStr">
        <is>
          <t>JÖNKÖPINGS LÄN</t>
        </is>
      </c>
      <c r="G354" t="inlineStr">
        <is>
          <t>ANEBY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469-2025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45702</v>
      </c>
      <c r="E355" s="1" t="n">
        <v>46250</v>
      </c>
      <c r="F355" t="inlineStr">
        <is>
          <t>JÖNKÖPINGS LÄN</t>
        </is>
      </c>
      <c r="G355" t="inlineStr">
        <is>
          <t>ANEBY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46029</v>
      </c>
      <c r="E356" s="1" t="n">
        <v>46250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1152-2026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46135</v>
      </c>
      <c r="E357" s="1" t="n">
        <v>46250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2026-08-16T01:48:21Z</dcterms:created>
  <dcterms:modified xmlns:dcterms="http://purl.org/dc/terms/" xmlns:xsi="http://www.w3.org/2001/XMLSchema-instance" xsi:type="dcterms:W3CDTF">2026-08-16T01:48:21Z</dcterms:modified>
</cp:coreProperties>
</file>