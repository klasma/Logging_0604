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46242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46242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46242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46242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46242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46242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46242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46242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46242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46242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46242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46242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46242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46242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46242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46242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46242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46242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46242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46242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46242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46242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46242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46242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46242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46242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46242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46242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46242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46242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46242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46242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46242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46242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46242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46242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46242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46242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46242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46242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46242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46242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46242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46242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46242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46242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46242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46242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46242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46242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46242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46242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46242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46242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46242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46242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46242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46242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46242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46242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46242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46242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46242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46242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46242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46242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46242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46242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46242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46242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46242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46242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46242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44959</v>
      </c>
      <c r="E75" s="1" t="n">
        <v>46242</v>
      </c>
      <c r="F75" t="inlineStr">
        <is>
          <t>JÖNKÖPINGS LÄN</t>
        </is>
      </c>
      <c r="G75" t="inlineStr">
        <is>
          <t>ANEBY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46242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46242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46242</v>
      </c>
      <c r="F78" t="inlineStr">
        <is>
          <t>JÖNKÖPINGS LÄN</t>
        </is>
      </c>
      <c r="G78" t="inlineStr">
        <is>
          <t>ANEBY</t>
        </is>
      </c>
      <c r="H78" t="inlineStr">
        <is>
          <t>Kyrkan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46242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46242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45359</v>
      </c>
      <c r="E81" s="1" t="n">
        <v>46242</v>
      </c>
      <c r="F81" t="inlineStr">
        <is>
          <t>JÖNKÖPINGS LÄN</t>
        </is>
      </c>
      <c r="G81" t="inlineStr">
        <is>
          <t>ANEBY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46242</v>
      </c>
      <c r="F82" t="inlineStr">
        <is>
          <t>JÖNKÖPINGS LÄN</t>
        </is>
      </c>
      <c r="G82" t="inlineStr">
        <is>
          <t>ANEBY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46242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46242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46242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46242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45033</v>
      </c>
      <c r="E87" s="1" t="n">
        <v>46242</v>
      </c>
      <c r="F87" t="inlineStr">
        <is>
          <t>JÖNKÖPINGS LÄN</t>
        </is>
      </c>
      <c r="G87" t="inlineStr">
        <is>
          <t>ANEBY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46242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46242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46242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46242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45122</v>
      </c>
      <c r="E92" s="1" t="n">
        <v>46242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46242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46242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46242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46242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49427-2023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45205</v>
      </c>
      <c r="E97" s="1" t="n">
        <v>46242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46242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46242</v>
      </c>
      <c r="F99" t="inlineStr">
        <is>
          <t>JÖNKÖPINGS LÄN</t>
        </is>
      </c>
      <c r="G99" t="inlineStr">
        <is>
          <t>ANEBY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46242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46242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46242</v>
      </c>
      <c r="F102" t="inlineStr">
        <is>
          <t>JÖNKÖPINGS LÄN</t>
        </is>
      </c>
      <c r="G102" t="inlineStr">
        <is>
          <t>ANEBY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46242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46242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46242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46242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46242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46242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46242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45531</v>
      </c>
      <c r="E110" s="1" t="n">
        <v>46242</v>
      </c>
      <c r="F110" t="inlineStr">
        <is>
          <t>JÖNKÖPINGS LÄN</t>
        </is>
      </c>
      <c r="G110" t="inlineStr">
        <is>
          <t>ANEBY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45304</v>
      </c>
      <c r="E111" s="1" t="n">
        <v>46242</v>
      </c>
      <c r="F111" t="inlineStr">
        <is>
          <t>JÖNKÖPINGS LÄN</t>
        </is>
      </c>
      <c r="G111" t="inlineStr">
        <is>
          <t>ANEBY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46242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46242</v>
      </c>
      <c r="F113" t="inlineStr">
        <is>
          <t>JÖNKÖPINGS LÄN</t>
        </is>
      </c>
      <c r="G113" t="inlineStr">
        <is>
          <t>ANEBY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27714-2024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45475</v>
      </c>
      <c r="E114" s="1" t="n">
        <v>46242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46242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46242</v>
      </c>
      <c r="F116" t="inlineStr">
        <is>
          <t>JÖNKÖPINGS LÄN</t>
        </is>
      </c>
      <c r="G116" t="inlineStr">
        <is>
          <t>ANEBY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46242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46242</v>
      </c>
      <c r="F118" t="inlineStr">
        <is>
          <t>JÖNKÖPINGS LÄN</t>
        </is>
      </c>
      <c r="G118" t="inlineStr">
        <is>
          <t>ANEBY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46242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45586</v>
      </c>
      <c r="E120" s="1" t="n">
        <v>46242</v>
      </c>
      <c r="F120" t="inlineStr">
        <is>
          <t>JÖNKÖPINGS LÄN</t>
        </is>
      </c>
      <c r="G120" t="inlineStr">
        <is>
          <t>ANEBY</t>
        </is>
      </c>
      <c r="H120" t="inlineStr">
        <is>
          <t>Övriga Aktiebolag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46242</v>
      </c>
      <c r="F121" t="inlineStr">
        <is>
          <t>JÖNKÖPINGS LÄN</t>
        </is>
      </c>
      <c r="G121" t="inlineStr">
        <is>
          <t>ANEBY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46242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49133-2022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44860</v>
      </c>
      <c r="E123" s="1" t="n">
        <v>46242</v>
      </c>
      <c r="F123" t="inlineStr">
        <is>
          <t>JÖNKÖPINGS LÄN</t>
        </is>
      </c>
      <c r="G123" t="inlineStr">
        <is>
          <t>ANEBY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46242</v>
      </c>
      <c r="F124" t="inlineStr">
        <is>
          <t>JÖNKÖPINGS LÄN</t>
        </is>
      </c>
      <c r="G124" t="inlineStr">
        <is>
          <t>ANEBY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57174-2021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46242</v>
      </c>
      <c r="F125" t="inlineStr">
        <is>
          <t>JÖNKÖPINGS LÄN</t>
        </is>
      </c>
      <c r="G125" t="inlineStr">
        <is>
          <t>ANEBY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46242</v>
      </c>
      <c r="F126" t="inlineStr">
        <is>
          <t>JÖNKÖPINGS LÄN</t>
        </is>
      </c>
      <c r="G126" t="inlineStr">
        <is>
          <t>ANEBY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45020</v>
      </c>
      <c r="E127" s="1" t="n">
        <v>46242</v>
      </c>
      <c r="F127" t="inlineStr">
        <is>
          <t>JÖNKÖPINGS LÄN</t>
        </is>
      </c>
      <c r="G127" t="inlineStr">
        <is>
          <t>ANEBY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46242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46242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46242</v>
      </c>
      <c r="F130" t="inlineStr">
        <is>
          <t>JÖNKÖPINGS LÄN</t>
        </is>
      </c>
      <c r="G130" t="inlineStr">
        <is>
          <t>ANEBY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46242</v>
      </c>
      <c r="F131" t="inlineStr">
        <is>
          <t>JÖNKÖPINGS LÄN</t>
        </is>
      </c>
      <c r="G131" t="inlineStr">
        <is>
          <t>ANEBY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21026-2024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45439</v>
      </c>
      <c r="E132" s="1" t="n">
        <v>46242</v>
      </c>
      <c r="F132" t="inlineStr">
        <is>
          <t>JÖNKÖPINGS LÄN</t>
        </is>
      </c>
      <c r="G132" t="inlineStr">
        <is>
          <t>ANEBY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46242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46242</v>
      </c>
      <c r="F134" t="inlineStr">
        <is>
          <t>JÖNKÖPINGS LÄN</t>
        </is>
      </c>
      <c r="G134" t="inlineStr">
        <is>
          <t>ANEBY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6827-2026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46057</v>
      </c>
      <c r="E135" s="1" t="n">
        <v>46242</v>
      </c>
      <c r="F135" t="inlineStr">
        <is>
          <t>JÖNKÖPINGS LÄN</t>
        </is>
      </c>
      <c r="G135" t="inlineStr">
        <is>
          <t>ANEBY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46057</v>
      </c>
      <c r="E136" s="1" t="n">
        <v>46242</v>
      </c>
      <c r="F136" t="inlineStr">
        <is>
          <t>JÖNKÖPINGS LÄN</t>
        </is>
      </c>
      <c r="G136" t="inlineStr">
        <is>
          <t>ANEBY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46242</v>
      </c>
      <c r="F137" t="inlineStr">
        <is>
          <t>JÖNKÖPINGS LÄN</t>
        </is>
      </c>
      <c r="G137" t="inlineStr">
        <is>
          <t>ANEBY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46242</v>
      </c>
      <c r="F138" t="inlineStr">
        <is>
          <t>JÖNKÖPINGS LÄN</t>
        </is>
      </c>
      <c r="G138" t="inlineStr">
        <is>
          <t>ANEBY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46242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46242</v>
      </c>
      <c r="F140" t="inlineStr">
        <is>
          <t>JÖNKÖPINGS LÄN</t>
        </is>
      </c>
      <c r="G140" t="inlineStr">
        <is>
          <t>ANEBY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7263-2026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46058</v>
      </c>
      <c r="E141" s="1" t="n">
        <v>46242</v>
      </c>
      <c r="F141" t="inlineStr">
        <is>
          <t>JÖNKÖPINGS LÄN</t>
        </is>
      </c>
      <c r="G141" t="inlineStr">
        <is>
          <t>ANEBY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46242</v>
      </c>
      <c r="F142" t="inlineStr">
        <is>
          <t>JÖNKÖPINGS LÄN</t>
        </is>
      </c>
      <c r="G142" t="inlineStr">
        <is>
          <t>ANEBY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46242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46242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46242</v>
      </c>
      <c r="F145" t="inlineStr">
        <is>
          <t>JÖNKÖPINGS LÄN</t>
        </is>
      </c>
      <c r="G145" t="inlineStr">
        <is>
          <t>ANEBY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46064</v>
      </c>
      <c r="E146" s="1" t="n">
        <v>46242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46242</v>
      </c>
      <c r="F147" t="inlineStr">
        <is>
          <t>JÖNKÖPINGS LÄN</t>
        </is>
      </c>
      <c r="G147" t="inlineStr">
        <is>
          <t>ANEBY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43528-2025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45911</v>
      </c>
      <c r="E148" s="1" t="n">
        <v>46242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46242</v>
      </c>
      <c r="F149" t="inlineStr">
        <is>
          <t>JÖNKÖPINGS LÄN</t>
        </is>
      </c>
      <c r="G149" t="inlineStr">
        <is>
          <t>ANEBY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46242</v>
      </c>
      <c r="F150" t="inlineStr">
        <is>
          <t>JÖNKÖPINGS LÄN</t>
        </is>
      </c>
      <c r="G150" t="inlineStr">
        <is>
          <t>ANEBY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46242</v>
      </c>
      <c r="F151" t="inlineStr">
        <is>
          <t>JÖNKÖPINGS LÄN</t>
        </is>
      </c>
      <c r="G151" t="inlineStr">
        <is>
          <t>ANEBY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46242</v>
      </c>
      <c r="F152" t="inlineStr">
        <is>
          <t>JÖNKÖPINGS LÄN</t>
        </is>
      </c>
      <c r="G152" t="inlineStr">
        <is>
          <t>ANEBY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46242</v>
      </c>
      <c r="F153" t="inlineStr">
        <is>
          <t>JÖNKÖPINGS LÄN</t>
        </is>
      </c>
      <c r="G153" t="inlineStr">
        <is>
          <t>ANEBY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46073</v>
      </c>
      <c r="E154" s="1" t="n">
        <v>46242</v>
      </c>
      <c r="F154" t="inlineStr">
        <is>
          <t>JÖNKÖPINGS LÄN</t>
        </is>
      </c>
      <c r="G154" t="inlineStr">
        <is>
          <t>ANEBY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57170-2021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46242</v>
      </c>
      <c r="F155" t="inlineStr">
        <is>
          <t>JÖNKÖPINGS LÄN</t>
        </is>
      </c>
      <c r="G155" t="inlineStr">
        <is>
          <t>ANEBY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35773-2023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45148</v>
      </c>
      <c r="E156" s="1" t="n">
        <v>46242</v>
      </c>
      <c r="F156" t="inlineStr">
        <is>
          <t>JÖNKÖPINGS LÄN</t>
        </is>
      </c>
      <c r="G156" t="inlineStr">
        <is>
          <t>ANEBY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56735-2021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44481</v>
      </c>
      <c r="E157" s="1" t="n">
        <v>46242</v>
      </c>
      <c r="F157" t="inlineStr">
        <is>
          <t>JÖNKÖPINGS LÄN</t>
        </is>
      </c>
      <c r="G157" t="inlineStr">
        <is>
          <t>ANEBY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46076</v>
      </c>
      <c r="E158" s="1" t="n">
        <v>46242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46242</v>
      </c>
      <c r="F159" t="inlineStr">
        <is>
          <t>JÖNKÖPINGS LÄN</t>
        </is>
      </c>
      <c r="G159" t="inlineStr">
        <is>
          <t>ANEBY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46242</v>
      </c>
      <c r="F160" t="inlineStr">
        <is>
          <t>JÖNKÖPINGS LÄN</t>
        </is>
      </c>
      <c r="G160" t="inlineStr">
        <is>
          <t>ANEBY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46242</v>
      </c>
      <c r="F161" t="inlineStr">
        <is>
          <t>JÖNKÖPINGS LÄN</t>
        </is>
      </c>
      <c r="G161" t="inlineStr">
        <is>
          <t>ANEBY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46242</v>
      </c>
      <c r="F162" t="inlineStr">
        <is>
          <t>JÖNKÖPINGS LÄN</t>
        </is>
      </c>
      <c r="G162" t="inlineStr">
        <is>
          <t>ANEBY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46242</v>
      </c>
      <c r="F163" t="inlineStr">
        <is>
          <t>JÖNKÖPINGS LÄN</t>
        </is>
      </c>
      <c r="G163" t="inlineStr">
        <is>
          <t>ANEBY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46242</v>
      </c>
      <c r="F164" t="inlineStr">
        <is>
          <t>JÖNKÖPINGS LÄN</t>
        </is>
      </c>
      <c r="G164" t="inlineStr">
        <is>
          <t>ANEBY</t>
        </is>
      </c>
      <c r="H164" t="inlineStr">
        <is>
          <t>Övriga Aktiebolag</t>
        </is>
      </c>
      <c r="I164" t="n">
        <v>16.8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46242</v>
      </c>
      <c r="F165" t="inlineStr">
        <is>
          <t>JÖNKÖPINGS LÄN</t>
        </is>
      </c>
      <c r="G165" t="inlineStr">
        <is>
          <t>ANEBY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46242</v>
      </c>
      <c r="F166" t="inlineStr">
        <is>
          <t>JÖNKÖPINGS LÄN</t>
        </is>
      </c>
      <c r="G166" t="inlineStr">
        <is>
          <t>ANEBY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46098</v>
      </c>
      <c r="E167" s="1" t="n">
        <v>46242</v>
      </c>
      <c r="F167" t="inlineStr">
        <is>
          <t>JÖNKÖPINGS LÄN</t>
        </is>
      </c>
      <c r="G167" t="inlineStr">
        <is>
          <t>ANEBY</t>
        </is>
      </c>
      <c r="H167" t="inlineStr">
        <is>
          <t>Övriga Aktiebolag</t>
        </is>
      </c>
      <c r="I167" t="n">
        <v>20.7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50744-2025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46242</v>
      </c>
      <c r="F168" t="inlineStr">
        <is>
          <t>JÖNKÖPINGS LÄN</t>
        </is>
      </c>
      <c r="G168" t="inlineStr">
        <is>
          <t>ANEBY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46242</v>
      </c>
      <c r="F169" t="inlineStr">
        <is>
          <t>JÖNKÖPINGS LÄN</t>
        </is>
      </c>
      <c r="G169" t="inlineStr">
        <is>
          <t>ANEBY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46242</v>
      </c>
      <c r="F170" t="inlineStr">
        <is>
          <t>JÖNKÖPINGS LÄN</t>
        </is>
      </c>
      <c r="G170" t="inlineStr">
        <is>
          <t>ANEBY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46242</v>
      </c>
      <c r="F171" t="inlineStr">
        <is>
          <t>JÖNKÖPINGS LÄN</t>
        </is>
      </c>
      <c r="G171" t="inlineStr">
        <is>
          <t>ANEBY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46242</v>
      </c>
      <c r="F172" t="inlineStr">
        <is>
          <t>JÖNKÖPINGS LÄN</t>
        </is>
      </c>
      <c r="G172" t="inlineStr">
        <is>
          <t>ANEBY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46242</v>
      </c>
      <c r="F173" t="inlineStr">
        <is>
          <t>JÖNKÖPINGS LÄN</t>
        </is>
      </c>
      <c r="G173" t="inlineStr">
        <is>
          <t>ANEBY</t>
        </is>
      </c>
      <c r="H173" t="inlineStr">
        <is>
          <t>Övriga Aktiebolag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46242</v>
      </c>
      <c r="F174" t="inlineStr">
        <is>
          <t>JÖNKÖPINGS LÄN</t>
        </is>
      </c>
      <c r="G174" t="inlineStr">
        <is>
          <t>ANEBY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46242</v>
      </c>
      <c r="F175" t="inlineStr">
        <is>
          <t>JÖNKÖPINGS LÄN</t>
        </is>
      </c>
      <c r="G175" t="inlineStr">
        <is>
          <t>ANEBY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46242</v>
      </c>
      <c r="F176" t="inlineStr">
        <is>
          <t>JÖNKÖPINGS LÄN</t>
        </is>
      </c>
      <c r="G176" t="inlineStr">
        <is>
          <t>ANEBY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46242</v>
      </c>
      <c r="F177" t="inlineStr">
        <is>
          <t>JÖNKÖPINGS LÄN</t>
        </is>
      </c>
      <c r="G177" t="inlineStr">
        <is>
          <t>ANEBY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45552</v>
      </c>
      <c r="E178" s="1" t="n">
        <v>46242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46242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46242</v>
      </c>
      <c r="F180" t="inlineStr">
        <is>
          <t>JÖNKÖPINGS LÄN</t>
        </is>
      </c>
      <c r="G180" t="inlineStr">
        <is>
          <t>ANEBY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46242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46242</v>
      </c>
      <c r="F182" t="inlineStr">
        <is>
          <t>JÖNKÖPINGS LÄN</t>
        </is>
      </c>
      <c r="G182" t="inlineStr">
        <is>
          <t>ANEBY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46242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45951</v>
      </c>
      <c r="E184" s="1" t="n">
        <v>46242</v>
      </c>
      <c r="F184" t="inlineStr">
        <is>
          <t>JÖNKÖPINGS LÄN</t>
        </is>
      </c>
      <c r="G184" t="inlineStr">
        <is>
          <t>ANEBY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46242</v>
      </c>
      <c r="F185" t="inlineStr">
        <is>
          <t>JÖNKÖPINGS LÄN</t>
        </is>
      </c>
      <c r="G185" t="inlineStr">
        <is>
          <t>ANEBY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46242</v>
      </c>
      <c r="F186" t="inlineStr">
        <is>
          <t>JÖNKÖPINGS LÄN</t>
        </is>
      </c>
      <c r="G186" t="inlineStr">
        <is>
          <t>ANEBY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45572</v>
      </c>
      <c r="E187" s="1" t="n">
        <v>46242</v>
      </c>
      <c r="F187" t="inlineStr">
        <is>
          <t>JÖNKÖPINGS LÄN</t>
        </is>
      </c>
      <c r="G187" t="inlineStr">
        <is>
          <t>ANEBY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44477</v>
      </c>
      <c r="E188" s="1" t="n">
        <v>46242</v>
      </c>
      <c r="F188" t="inlineStr">
        <is>
          <t>JÖNKÖPINGS LÄN</t>
        </is>
      </c>
      <c r="G188" t="inlineStr">
        <is>
          <t>ANEBY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46242</v>
      </c>
      <c r="F189" t="inlineStr">
        <is>
          <t>JÖNKÖPINGS LÄN</t>
        </is>
      </c>
      <c r="G189" t="inlineStr">
        <is>
          <t>ANEBY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46242</v>
      </c>
      <c r="F190" t="inlineStr">
        <is>
          <t>JÖNKÖPINGS LÄN</t>
        </is>
      </c>
      <c r="G190" t="inlineStr">
        <is>
          <t>ANEBY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46242</v>
      </c>
      <c r="F191" t="inlineStr">
        <is>
          <t>JÖNKÖPINGS LÄN</t>
        </is>
      </c>
      <c r="G191" t="inlineStr">
        <is>
          <t>ANEBY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46126</v>
      </c>
      <c r="E192" s="1" t="n">
        <v>46242</v>
      </c>
      <c r="F192" t="inlineStr">
        <is>
          <t>JÖNKÖPINGS LÄN</t>
        </is>
      </c>
      <c r="G192" t="inlineStr">
        <is>
          <t>ANEBY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46242</v>
      </c>
      <c r="F193" t="inlineStr">
        <is>
          <t>JÖNKÖPINGS LÄN</t>
        </is>
      </c>
      <c r="G193" t="inlineStr">
        <is>
          <t>ANEBY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46242</v>
      </c>
      <c r="F194" t="inlineStr">
        <is>
          <t>JÖNKÖPINGS LÄN</t>
        </is>
      </c>
      <c r="G194" t="inlineStr">
        <is>
          <t>ANEBY</t>
        </is>
      </c>
      <c r="H194" t="inlineStr">
        <is>
          <t>Övriga Aktiebolag</t>
        </is>
      </c>
      <c r="I194" t="n">
        <v>19.6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46242</v>
      </c>
      <c r="F195" t="inlineStr">
        <is>
          <t>JÖNKÖPINGS LÄN</t>
        </is>
      </c>
      <c r="G195" t="inlineStr">
        <is>
          <t>ANEBY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46242</v>
      </c>
      <c r="F196" t="inlineStr">
        <is>
          <t>JÖNKÖPINGS LÄN</t>
        </is>
      </c>
      <c r="G196" t="inlineStr">
        <is>
          <t>ANEBY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44606</v>
      </c>
      <c r="E197" s="1" t="n">
        <v>46242</v>
      </c>
      <c r="F197" t="inlineStr">
        <is>
          <t>JÖNKÖPINGS LÄN</t>
        </is>
      </c>
      <c r="G197" t="inlineStr">
        <is>
          <t>ANEBY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46242</v>
      </c>
      <c r="F198" t="inlineStr">
        <is>
          <t>JÖNKÖPINGS LÄN</t>
        </is>
      </c>
      <c r="G198" t="inlineStr">
        <is>
          <t>ANEBY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45982</v>
      </c>
      <c r="E199" s="1" t="n">
        <v>46242</v>
      </c>
      <c r="F199" t="inlineStr">
        <is>
          <t>JÖNKÖPINGS LÄN</t>
        </is>
      </c>
      <c r="G199" t="inlineStr">
        <is>
          <t>ANEBY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14323-2024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46242</v>
      </c>
      <c r="F200" t="inlineStr">
        <is>
          <t>JÖNKÖPINGS LÄN</t>
        </is>
      </c>
      <c r="G200" t="inlineStr">
        <is>
          <t>ANEBY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12714-2023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46242</v>
      </c>
      <c r="F201" t="inlineStr">
        <is>
          <t>JÖNKÖPINGS LÄN</t>
        </is>
      </c>
      <c r="G201" t="inlineStr">
        <is>
          <t>ANEBY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44985</v>
      </c>
      <c r="E202" s="1" t="n">
        <v>46242</v>
      </c>
      <c r="F202" t="inlineStr">
        <is>
          <t>JÖNKÖPINGS LÄN</t>
        </is>
      </c>
      <c r="G202" t="inlineStr">
        <is>
          <t>ANEBY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45454</v>
      </c>
      <c r="E203" s="1" t="n">
        <v>46242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46242</v>
      </c>
      <c r="F204" t="inlineStr">
        <is>
          <t>JÖNKÖPINGS LÄN</t>
        </is>
      </c>
      <c r="G204" t="inlineStr">
        <is>
          <t>ANEBY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45993</v>
      </c>
      <c r="E205" s="1" t="n">
        <v>46242</v>
      </c>
      <c r="F205" t="inlineStr">
        <is>
          <t>JÖNKÖPINGS LÄN</t>
        </is>
      </c>
      <c r="G205" t="inlineStr">
        <is>
          <t>ANEBY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46242</v>
      </c>
      <c r="F206" t="inlineStr">
        <is>
          <t>JÖNKÖPINGS LÄN</t>
        </is>
      </c>
      <c r="G206" t="inlineStr">
        <is>
          <t>ANEBY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46242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46242</v>
      </c>
      <c r="F208" t="inlineStr">
        <is>
          <t>JÖNKÖPINGS LÄN</t>
        </is>
      </c>
      <c r="G208" t="inlineStr">
        <is>
          <t>ANEBY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46242</v>
      </c>
      <c r="F209" t="inlineStr">
        <is>
          <t>JÖNKÖPINGS LÄN</t>
        </is>
      </c>
      <c r="G209" t="inlineStr">
        <is>
          <t>ANEBY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46242</v>
      </c>
      <c r="F210" t="inlineStr">
        <is>
          <t>JÖNKÖPINGS LÄN</t>
        </is>
      </c>
      <c r="G210" t="inlineStr">
        <is>
          <t>ANEBY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62090-2025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46006</v>
      </c>
      <c r="E211" s="1" t="n">
        <v>46242</v>
      </c>
      <c r="F211" t="inlineStr">
        <is>
          <t>JÖNKÖPINGS LÄN</t>
        </is>
      </c>
      <c r="G211" t="inlineStr">
        <is>
          <t>ANEBY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46242</v>
      </c>
      <c r="F212" t="inlineStr">
        <is>
          <t>JÖNKÖPINGS LÄN</t>
        </is>
      </c>
      <c r="G212" t="inlineStr">
        <is>
          <t>ANEBY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46242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46242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46242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46242</v>
      </c>
      <c r="F216" t="inlineStr">
        <is>
          <t>JÖNKÖPINGS LÄN</t>
        </is>
      </c>
      <c r="G216" t="inlineStr">
        <is>
          <t>ANEBY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45146</v>
      </c>
      <c r="E217" s="1" t="n">
        <v>46242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46242</v>
      </c>
      <c r="F218" t="inlineStr">
        <is>
          <t>JÖNKÖPINGS LÄN</t>
        </is>
      </c>
      <c r="G218" t="inlineStr">
        <is>
          <t>ANEBY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44739</v>
      </c>
      <c r="E219" s="1" t="n">
        <v>46242</v>
      </c>
      <c r="F219" t="inlineStr">
        <is>
          <t>JÖNKÖPINGS LÄN</t>
        </is>
      </c>
      <c r="G219" t="inlineStr">
        <is>
          <t>ANEBY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45412</v>
      </c>
      <c r="E220" s="1" t="n">
        <v>46242</v>
      </c>
      <c r="F220" t="inlineStr">
        <is>
          <t>JÖNKÖPINGS LÄN</t>
        </is>
      </c>
      <c r="G220" t="inlineStr">
        <is>
          <t>ANEBY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46242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46020</v>
      </c>
      <c r="E222" s="1" t="n">
        <v>46242</v>
      </c>
      <c r="F222" t="inlineStr">
        <is>
          <t>JÖNKÖPINGS LÄN</t>
        </is>
      </c>
      <c r="G222" t="inlineStr">
        <is>
          <t>ANEBY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46242</v>
      </c>
      <c r="F223" t="inlineStr">
        <is>
          <t>JÖNKÖPINGS LÄN</t>
        </is>
      </c>
      <c r="G223" t="inlineStr">
        <is>
          <t>ANEBY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46021</v>
      </c>
      <c r="E224" s="1" t="n">
        <v>46242</v>
      </c>
      <c r="F224" t="inlineStr">
        <is>
          <t>JÖNKÖPINGS LÄN</t>
        </is>
      </c>
      <c r="G224" t="inlineStr">
        <is>
          <t>ANEBY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46242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14235-2023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45009</v>
      </c>
      <c r="E226" s="1" t="n">
        <v>46242</v>
      </c>
      <c r="F226" t="inlineStr">
        <is>
          <t>JÖNKÖPINGS LÄN</t>
        </is>
      </c>
      <c r="G226" t="inlineStr">
        <is>
          <t>ANEBY</t>
        </is>
      </c>
      <c r="I226" t="n">
        <v>13.8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46242</v>
      </c>
      <c r="F227" t="inlineStr">
        <is>
          <t>JÖNKÖPINGS LÄN</t>
        </is>
      </c>
      <c r="G227" t="inlineStr">
        <is>
          <t>ANEBY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45357</v>
      </c>
      <c r="E228" s="1" t="n">
        <v>46242</v>
      </c>
      <c r="F228" t="inlineStr">
        <is>
          <t>JÖNKÖPINGS LÄN</t>
        </is>
      </c>
      <c r="G228" t="inlineStr">
        <is>
          <t>ANEBY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46242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7945-2025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46242</v>
      </c>
      <c r="F230" t="inlineStr">
        <is>
          <t>JÖNKÖPINGS LÄN</t>
        </is>
      </c>
      <c r="G230" t="inlineStr">
        <is>
          <t>ANEBY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45688</v>
      </c>
      <c r="E231" s="1" t="n">
        <v>46242</v>
      </c>
      <c r="F231" t="inlineStr">
        <is>
          <t>JÖNKÖPINGS LÄN</t>
        </is>
      </c>
      <c r="G231" t="inlineStr">
        <is>
          <t>ANEBY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73166-2021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44550</v>
      </c>
      <c r="E232" s="1" t="n">
        <v>46242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44623</v>
      </c>
      <c r="E233" s="1" t="n">
        <v>46242</v>
      </c>
      <c r="F233" t="inlineStr">
        <is>
          <t>JÖNKÖPINGS LÄN</t>
        </is>
      </c>
      <c r="G233" t="inlineStr">
        <is>
          <t>ANEBY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23349-2023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45076</v>
      </c>
      <c r="E234" s="1" t="n">
        <v>46242</v>
      </c>
      <c r="F234" t="inlineStr">
        <is>
          <t>JÖNKÖPINGS LÄN</t>
        </is>
      </c>
      <c r="G234" t="inlineStr">
        <is>
          <t>ANEBY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45393</v>
      </c>
      <c r="E235" s="1" t="n">
        <v>46242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21356-2026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46147</v>
      </c>
      <c r="E236" s="1" t="n">
        <v>46242</v>
      </c>
      <c r="F236" t="inlineStr">
        <is>
          <t>JÖNKÖPINGS LÄN</t>
        </is>
      </c>
      <c r="G236" t="inlineStr">
        <is>
          <t>ANEBY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46242</v>
      </c>
      <c r="F237" t="inlineStr">
        <is>
          <t>JÖNKÖPINGS LÄN</t>
        </is>
      </c>
      <c r="G237" t="inlineStr">
        <is>
          <t>ANEBY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  <c r="Z237">
        <f>HYPERLINK("https://klasma.github.io/Logging_0604/knärot/A 25963-2024 karta knärot.png", "A 25963-2024")</f>
        <v/>
      </c>
      <c r="AA237">
        <f>HYPERLINK("https://klasma.github.io/Logging_0604/klagomål/A 25963-2024 FSC-klagomål.docx", "A 25963-2024")</f>
        <v/>
      </c>
      <c r="AB237">
        <f>HYPERLINK("https://klasma.github.io/Logging_0604/klagomålsmail/A 25963-2024 FSC-klagomål mail.docx", "A 25963-2024")</f>
        <v/>
      </c>
      <c r="AC237">
        <f>HYPERLINK("https://klasma.github.io/Logging_0604/tillsyn/A 25963-2024 tillsynsbegäran.docx", "A 25963-2024")</f>
        <v/>
      </c>
      <c r="AD237">
        <f>HYPERLINK("https://klasma.github.io/Logging_0604/tillsynsmail/A 25963-2024 tillsynsbegäran mail.docx", "A 25963-2024")</f>
        <v/>
      </c>
    </row>
    <row r="238" ht="15" customHeight="1">
      <c r="A238" t="inlineStr">
        <is>
          <t>A 21812-2023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46242</v>
      </c>
      <c r="F238" t="inlineStr">
        <is>
          <t>JÖNKÖPINGS LÄN</t>
        </is>
      </c>
      <c r="G238" t="inlineStr">
        <is>
          <t>ANEBY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45033</v>
      </c>
      <c r="E239" s="1" t="n">
        <v>46242</v>
      </c>
      <c r="F239" t="inlineStr">
        <is>
          <t>JÖNKÖPINGS LÄN</t>
        </is>
      </c>
      <c r="G239" t="inlineStr">
        <is>
          <t>ANEBY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46242</v>
      </c>
      <c r="F240" t="inlineStr">
        <is>
          <t>JÖNKÖPINGS LÄN</t>
        </is>
      </c>
      <c r="G240" t="inlineStr">
        <is>
          <t>ANEBY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45077</v>
      </c>
      <c r="E241" s="1" t="n">
        <v>46242</v>
      </c>
      <c r="F241" t="inlineStr">
        <is>
          <t>JÖNKÖPINGS LÄN</t>
        </is>
      </c>
      <c r="G241" t="inlineStr">
        <is>
          <t>ANEBY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46242</v>
      </c>
      <c r="F242" t="inlineStr">
        <is>
          <t>JÖNKÖPINGS LÄN</t>
        </is>
      </c>
      <c r="G242" t="inlineStr">
        <is>
          <t>ANEBY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45610</v>
      </c>
      <c r="E243" s="1" t="n">
        <v>46242</v>
      </c>
      <c r="F243" t="inlineStr">
        <is>
          <t>JÖNKÖPINGS LÄN</t>
        </is>
      </c>
      <c r="G243" t="inlineStr">
        <is>
          <t>ANEBY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46242</v>
      </c>
      <c r="F244" t="inlineStr">
        <is>
          <t>JÖNKÖPINGS LÄN</t>
        </is>
      </c>
      <c r="G244" t="inlineStr">
        <is>
          <t>ANEBY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44721</v>
      </c>
      <c r="E245" s="1" t="n">
        <v>46242</v>
      </c>
      <c r="F245" t="inlineStr">
        <is>
          <t>JÖNKÖPINGS LÄN</t>
        </is>
      </c>
      <c r="G245" t="inlineStr">
        <is>
          <t>ANEBY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54213-2024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45616</v>
      </c>
      <c r="E246" s="1" t="n">
        <v>46242</v>
      </c>
      <c r="F246" t="inlineStr">
        <is>
          <t>JÖNKÖPINGS LÄN</t>
        </is>
      </c>
      <c r="G246" t="inlineStr">
        <is>
          <t>ANEBY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46242</v>
      </c>
      <c r="F247" t="inlineStr">
        <is>
          <t>JÖNKÖPINGS LÄN</t>
        </is>
      </c>
      <c r="G247" t="inlineStr">
        <is>
          <t>ANEBY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23858-2026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46242</v>
      </c>
      <c r="F248" t="inlineStr">
        <is>
          <t>JÖNKÖPINGS LÄN</t>
        </is>
      </c>
      <c r="G248" t="inlineStr">
        <is>
          <t>ANEBY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46242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45316</v>
      </c>
      <c r="E250" s="1" t="n">
        <v>46242</v>
      </c>
      <c r="F250" t="inlineStr">
        <is>
          <t>JÖNKÖPINGS LÄN</t>
        </is>
      </c>
      <c r="G250" t="inlineStr">
        <is>
          <t>ANEBY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46242</v>
      </c>
      <c r="F251" t="inlineStr">
        <is>
          <t>JÖNKÖPINGS LÄN</t>
        </is>
      </c>
      <c r="G251" t="inlineStr">
        <is>
          <t>ANEBY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43613-2023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45184</v>
      </c>
      <c r="E252" s="1" t="n">
        <v>46242</v>
      </c>
      <c r="F252" t="inlineStr">
        <is>
          <t>JÖNKÖPINGS LÄN</t>
        </is>
      </c>
      <c r="G252" t="inlineStr">
        <is>
          <t>ANEBY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12477-2023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44999</v>
      </c>
      <c r="E253" s="1" t="n">
        <v>46242</v>
      </c>
      <c r="F253" t="inlineStr">
        <is>
          <t>JÖNKÖPINGS LÄN</t>
        </is>
      </c>
      <c r="G253" t="inlineStr">
        <is>
          <t>ANEBY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46242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46242</v>
      </c>
      <c r="F255" t="inlineStr">
        <is>
          <t>JÖNKÖPINGS LÄN</t>
        </is>
      </c>
      <c r="G255" t="inlineStr">
        <is>
          <t>ANEBY</t>
        </is>
      </c>
      <c r="H255" t="inlineStr">
        <is>
          <t>Sveaskog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45198</v>
      </c>
      <c r="E256" s="1" t="n">
        <v>46242</v>
      </c>
      <c r="F256" t="inlineStr">
        <is>
          <t>JÖNKÖPINGS LÄN</t>
        </is>
      </c>
      <c r="G256" t="inlineStr">
        <is>
          <t>ANEBY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41144-2021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44423</v>
      </c>
      <c r="E257" s="1" t="n">
        <v>46242</v>
      </c>
      <c r="F257" t="inlineStr">
        <is>
          <t>JÖNKÖPINGS LÄN</t>
        </is>
      </c>
      <c r="G257" t="inlineStr">
        <is>
          <t>ANEBY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46242</v>
      </c>
      <c r="F258" t="inlineStr">
        <is>
          <t>JÖNKÖPINGS LÄN</t>
        </is>
      </c>
      <c r="G258" t="inlineStr">
        <is>
          <t>ANEBY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44957</v>
      </c>
      <c r="E259" s="1" t="n">
        <v>46242</v>
      </c>
      <c r="F259" t="inlineStr">
        <is>
          <t>JÖNKÖPINGS LÄN</t>
        </is>
      </c>
      <c r="G259" t="inlineStr">
        <is>
          <t>ANEBY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46242</v>
      </c>
      <c r="F260" t="inlineStr">
        <is>
          <t>JÖNKÖPINGS LÄN</t>
        </is>
      </c>
      <c r="G260" t="inlineStr">
        <is>
          <t>ANEBY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46214</v>
      </c>
      <c r="E261" s="1" t="n">
        <v>46242</v>
      </c>
      <c r="F261" t="inlineStr">
        <is>
          <t>JÖNKÖPINGS LÄN</t>
        </is>
      </c>
      <c r="G261" t="inlineStr">
        <is>
          <t>ANEBY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46214</v>
      </c>
      <c r="E262" s="1" t="n">
        <v>46242</v>
      </c>
      <c r="F262" t="inlineStr">
        <is>
          <t>JÖNKÖPINGS LÄN</t>
        </is>
      </c>
      <c r="G262" t="inlineStr">
        <is>
          <t>ANEBY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45275</v>
      </c>
      <c r="E263" s="1" t="n">
        <v>46242</v>
      </c>
      <c r="F263" t="inlineStr">
        <is>
          <t>JÖNKÖPINGS LÄN</t>
        </is>
      </c>
      <c r="G263" t="inlineStr">
        <is>
          <t>ANEBY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46214</v>
      </c>
      <c r="E264" s="1" t="n">
        <v>46242</v>
      </c>
      <c r="F264" t="inlineStr">
        <is>
          <t>JÖNKÖPINGS LÄN</t>
        </is>
      </c>
      <c r="G264" t="inlineStr">
        <is>
          <t>ANEBY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46242</v>
      </c>
      <c r="F265" t="inlineStr">
        <is>
          <t>JÖNKÖPINGS LÄN</t>
        </is>
      </c>
      <c r="G265" t="inlineStr">
        <is>
          <t>ANEBY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46242</v>
      </c>
      <c r="F266" t="inlineStr">
        <is>
          <t>JÖNKÖPINGS LÄN</t>
        </is>
      </c>
      <c r="G266" t="inlineStr">
        <is>
          <t>ANEBY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45304</v>
      </c>
      <c r="E267" s="1" t="n">
        <v>46242</v>
      </c>
      <c r="F267" t="inlineStr">
        <is>
          <t>JÖNKÖPINGS LÄN</t>
        </is>
      </c>
      <c r="G267" t="inlineStr">
        <is>
          <t>ANEBY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46242</v>
      </c>
      <c r="F268" t="inlineStr">
        <is>
          <t>JÖNKÖPINGS LÄN</t>
        </is>
      </c>
      <c r="G268" t="inlineStr">
        <is>
          <t>ANEBY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46242</v>
      </c>
      <c r="F269" t="inlineStr">
        <is>
          <t>JÖNKÖPINGS LÄN</t>
        </is>
      </c>
      <c r="G269" t="inlineStr">
        <is>
          <t>ANEBY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44578</v>
      </c>
      <c r="E270" s="1" t="n">
        <v>46242</v>
      </c>
      <c r="F270" t="inlineStr">
        <is>
          <t>JÖNKÖPINGS LÄN</t>
        </is>
      </c>
      <c r="G270" t="inlineStr">
        <is>
          <t>ANEBY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26236-2024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45468</v>
      </c>
      <c r="E271" s="1" t="n">
        <v>46242</v>
      </c>
      <c r="F271" t="inlineStr">
        <is>
          <t>JÖNKÖPINGS LÄN</t>
        </is>
      </c>
      <c r="G271" t="inlineStr">
        <is>
          <t>ANEBY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46242</v>
      </c>
      <c r="F272" t="inlineStr">
        <is>
          <t>JÖNKÖPINGS LÄN</t>
        </is>
      </c>
      <c r="G272" t="inlineStr">
        <is>
          <t>ANEBY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56333-2022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44890</v>
      </c>
      <c r="E273" s="1" t="n">
        <v>46242</v>
      </c>
      <c r="F273" t="inlineStr">
        <is>
          <t>JÖNKÖPINGS LÄN</t>
        </is>
      </c>
      <c r="G273" t="inlineStr">
        <is>
          <t>ANEBY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46242</v>
      </c>
      <c r="F274" t="inlineStr">
        <is>
          <t>JÖNKÖPINGS LÄN</t>
        </is>
      </c>
      <c r="G274" t="inlineStr">
        <is>
          <t>ANEBY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10155-2024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45364</v>
      </c>
      <c r="E275" s="1" t="n">
        <v>46242</v>
      </c>
      <c r="F275" t="inlineStr">
        <is>
          <t>JÖNKÖPINGS LÄN</t>
        </is>
      </c>
      <c r="G275" t="inlineStr">
        <is>
          <t>ANEBY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46242</v>
      </c>
      <c r="F276" t="inlineStr">
        <is>
          <t>JÖNKÖPINGS LÄN</t>
        </is>
      </c>
      <c r="G276" t="inlineStr">
        <is>
          <t>ANEBY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44859</v>
      </c>
      <c r="E277" s="1" t="n">
        <v>46242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46242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47409-2022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44851</v>
      </c>
      <c r="E279" s="1" t="n">
        <v>46242</v>
      </c>
      <c r="F279" t="inlineStr">
        <is>
          <t>JÖNKÖPINGS LÄN</t>
        </is>
      </c>
      <c r="G279" t="inlineStr">
        <is>
          <t>ANEBY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46242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46242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46242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46224</v>
      </c>
      <c r="E283" s="1" t="n">
        <v>46242</v>
      </c>
      <c r="F283" t="inlineStr">
        <is>
          <t>JÖNKÖPINGS LÄN</t>
        </is>
      </c>
      <c r="G283" t="inlineStr">
        <is>
          <t>ANEBY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46242</v>
      </c>
      <c r="F284" t="inlineStr">
        <is>
          <t>JÖNKÖPINGS LÄN</t>
        </is>
      </c>
      <c r="G284" t="inlineStr">
        <is>
          <t>ANEBY</t>
        </is>
      </c>
      <c r="I284" t="n">
        <v>17.9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46242</v>
      </c>
      <c r="F285" t="inlineStr">
        <is>
          <t>JÖNKÖPINGS LÄN</t>
        </is>
      </c>
      <c r="G285" t="inlineStr">
        <is>
          <t>ANEBY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44620</v>
      </c>
      <c r="E286" s="1" t="n">
        <v>46242</v>
      </c>
      <c r="F286" t="inlineStr">
        <is>
          <t>JÖNKÖPINGS LÄN</t>
        </is>
      </c>
      <c r="G286" t="inlineStr">
        <is>
          <t>ANEBY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46242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46242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10456-2023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44981</v>
      </c>
      <c r="E289" s="1" t="n">
        <v>46242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46242</v>
      </c>
      <c r="F290" t="inlineStr">
        <is>
          <t>JÖNKÖPINGS LÄN</t>
        </is>
      </c>
      <c r="G290" t="inlineStr">
        <is>
          <t>ANEBY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33051-2023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45126</v>
      </c>
      <c r="E291" s="1" t="n">
        <v>46242</v>
      </c>
      <c r="F291" t="inlineStr">
        <is>
          <t>JÖNKÖPINGS LÄN</t>
        </is>
      </c>
      <c r="G291" t="inlineStr">
        <is>
          <t>ANEBY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51185-2021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44461</v>
      </c>
      <c r="E292" s="1" t="n">
        <v>46242</v>
      </c>
      <c r="F292" t="inlineStr">
        <is>
          <t>JÖNKÖPINGS LÄN</t>
        </is>
      </c>
      <c r="G292" t="inlineStr">
        <is>
          <t>ANEBY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44671</v>
      </c>
      <c r="E293" s="1" t="n">
        <v>46242</v>
      </c>
      <c r="F293" t="inlineStr">
        <is>
          <t>JÖNKÖPINGS LÄN</t>
        </is>
      </c>
      <c r="G293" t="inlineStr">
        <is>
          <t>ANEBY</t>
        </is>
      </c>
      <c r="H293" t="inlineStr">
        <is>
          <t>Kyrkan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46242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46242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45356</v>
      </c>
      <c r="E296" s="1" t="n">
        <v>46242</v>
      </c>
      <c r="F296" t="inlineStr">
        <is>
          <t>JÖNKÖPINGS LÄN</t>
        </is>
      </c>
      <c r="G296" t="inlineStr">
        <is>
          <t>ANEBY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46242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46242</v>
      </c>
      <c r="F298" t="inlineStr">
        <is>
          <t>JÖNKÖPINGS LÄN</t>
        </is>
      </c>
      <c r="G298" t="inlineStr">
        <is>
          <t>ANEBY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46242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45110</v>
      </c>
      <c r="E300" s="1" t="n">
        <v>46242</v>
      </c>
      <c r="F300" t="inlineStr">
        <is>
          <t>JÖNKÖPINGS LÄN</t>
        </is>
      </c>
      <c r="G300" t="inlineStr">
        <is>
          <t>ANEBY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10302-2024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46242</v>
      </c>
      <c r="F301" t="inlineStr">
        <is>
          <t>JÖNKÖPINGS LÄN</t>
        </is>
      </c>
      <c r="G301" t="inlineStr">
        <is>
          <t>ANEBY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44959</v>
      </c>
      <c r="E302" s="1" t="n">
        <v>46242</v>
      </c>
      <c r="F302" t="inlineStr">
        <is>
          <t>JÖNKÖPINGS LÄN</t>
        </is>
      </c>
      <c r="G302" t="inlineStr">
        <is>
          <t>ANEBY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45034</v>
      </c>
      <c r="E303" s="1" t="n">
        <v>46242</v>
      </c>
      <c r="F303" t="inlineStr">
        <is>
          <t>JÖNKÖPINGS LÄN</t>
        </is>
      </c>
      <c r="G303" t="inlineStr">
        <is>
          <t>ANEBY</t>
        </is>
      </c>
      <c r="H303" t="inlineStr">
        <is>
          <t>Kyrkan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46242</v>
      </c>
      <c r="F304" t="inlineStr">
        <is>
          <t>JÖNKÖPINGS LÄN</t>
        </is>
      </c>
      <c r="G304" t="inlineStr">
        <is>
          <t>ANEBY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67414-2021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44524</v>
      </c>
      <c r="E305" s="1" t="n">
        <v>46242</v>
      </c>
      <c r="F305" t="inlineStr">
        <is>
          <t>JÖNKÖPINGS LÄN</t>
        </is>
      </c>
      <c r="G305" t="inlineStr">
        <is>
          <t>ANEBY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16928-2023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45033</v>
      </c>
      <c r="E306" s="1" t="n">
        <v>46242</v>
      </c>
      <c r="F306" t="inlineStr">
        <is>
          <t>JÖNKÖPINGS LÄN</t>
        </is>
      </c>
      <c r="G306" t="inlineStr">
        <is>
          <t>ANEBY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59507-2022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44900</v>
      </c>
      <c r="E307" s="1" t="n">
        <v>46242</v>
      </c>
      <c r="F307" t="inlineStr">
        <is>
          <t>JÖNKÖPINGS LÄN</t>
        </is>
      </c>
      <c r="G307" t="inlineStr">
        <is>
          <t>ANEBY</t>
        </is>
      </c>
      <c r="H307" t="inlineStr">
        <is>
          <t>Övriga Aktiebolag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23354-2023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45076</v>
      </c>
      <c r="E308" s="1" t="n">
        <v>46242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46242</v>
      </c>
      <c r="F309" t="inlineStr">
        <is>
          <t>JÖNKÖPINGS LÄN</t>
        </is>
      </c>
      <c r="G309" t="inlineStr">
        <is>
          <t>ANEBY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37343-2023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45156</v>
      </c>
      <c r="E310" s="1" t="n">
        <v>46242</v>
      </c>
      <c r="F310" t="inlineStr">
        <is>
          <t>JÖNKÖPINGS LÄN</t>
        </is>
      </c>
      <c r="G310" t="inlineStr">
        <is>
          <t>ANEBY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46242</v>
      </c>
      <c r="F311" t="inlineStr">
        <is>
          <t>JÖNKÖPINGS LÄN</t>
        </is>
      </c>
      <c r="G311" t="inlineStr">
        <is>
          <t>ANEBY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45077</v>
      </c>
      <c r="E312" s="1" t="n">
        <v>46242</v>
      </c>
      <c r="F312" t="inlineStr">
        <is>
          <t>JÖNKÖPINGS LÄN</t>
        </is>
      </c>
      <c r="G312" t="inlineStr">
        <is>
          <t>ANEBY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45092</v>
      </c>
      <c r="E313" s="1" t="n">
        <v>46242</v>
      </c>
      <c r="F313" t="inlineStr">
        <is>
          <t>JÖNKÖPINGS LÄN</t>
        </is>
      </c>
      <c r="G313" t="inlineStr">
        <is>
          <t>ANEBY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38794-2023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45161</v>
      </c>
      <c r="E314" s="1" t="n">
        <v>46242</v>
      </c>
      <c r="F314" t="inlineStr">
        <is>
          <t>JÖNKÖPINGS LÄN</t>
        </is>
      </c>
      <c r="G314" t="inlineStr">
        <is>
          <t>ANEBY</t>
        </is>
      </c>
      <c r="H314" t="inlineStr">
        <is>
          <t>Övriga Aktiebolag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45028</v>
      </c>
      <c r="E315" s="1" t="n">
        <v>46242</v>
      </c>
      <c r="F315" t="inlineStr">
        <is>
          <t>JÖNKÖPINGS LÄN</t>
        </is>
      </c>
      <c r="G315" t="inlineStr">
        <is>
          <t>ANEBY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45616</v>
      </c>
      <c r="E316" s="1" t="n">
        <v>46242</v>
      </c>
      <c r="F316" t="inlineStr">
        <is>
          <t>JÖNKÖPINGS LÄN</t>
        </is>
      </c>
      <c r="G316" t="inlineStr">
        <is>
          <t>ANEBY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16679-2024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45408</v>
      </c>
      <c r="E317" s="1" t="n">
        <v>46242</v>
      </c>
      <c r="F317" t="inlineStr">
        <is>
          <t>JÖNKÖPINGS LÄN</t>
        </is>
      </c>
      <c r="G317" t="inlineStr">
        <is>
          <t>ANEBY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45016</v>
      </c>
      <c r="E318" s="1" t="n">
        <v>46242</v>
      </c>
      <c r="F318" t="inlineStr">
        <is>
          <t>JÖNKÖPINGS LÄN</t>
        </is>
      </c>
      <c r="G318" t="inlineStr">
        <is>
          <t>ANEBY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44978</v>
      </c>
      <c r="E319" s="1" t="n">
        <v>46242</v>
      </c>
      <c r="F319" t="inlineStr">
        <is>
          <t>JÖNKÖPINGS LÄN</t>
        </is>
      </c>
      <c r="G319" t="inlineStr">
        <is>
          <t>ANEBY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11369-2024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46242</v>
      </c>
      <c r="F320" t="inlineStr">
        <is>
          <t>JÖNKÖPINGS LÄN</t>
        </is>
      </c>
      <c r="G320" t="inlineStr">
        <is>
          <t>ANEBY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46242</v>
      </c>
      <c r="F321" t="inlineStr">
        <is>
          <t>JÖNKÖPINGS LÄN</t>
        </is>
      </c>
      <c r="G321" t="inlineStr">
        <is>
          <t>ANEBY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46242</v>
      </c>
      <c r="F322" t="inlineStr">
        <is>
          <t>JÖNKÖPINGS LÄN</t>
        </is>
      </c>
      <c r="G322" t="inlineStr">
        <is>
          <t>ANEBY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46242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46242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44957</v>
      </c>
      <c r="E325" s="1" t="n">
        <v>46242</v>
      </c>
      <c r="F325" t="inlineStr">
        <is>
          <t>JÖNKÖPINGS LÄN</t>
        </is>
      </c>
      <c r="G325" t="inlineStr">
        <is>
          <t>ANEBY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20767-2022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44700</v>
      </c>
      <c r="E326" s="1" t="n">
        <v>46242</v>
      </c>
      <c r="F326" t="inlineStr">
        <is>
          <t>JÖNKÖPINGS LÄN</t>
        </is>
      </c>
      <c r="G326" t="inlineStr">
        <is>
          <t>ANEBY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46242</v>
      </c>
      <c r="F327" t="inlineStr">
        <is>
          <t>JÖNKÖPINGS LÄN</t>
        </is>
      </c>
      <c r="G327" t="inlineStr">
        <is>
          <t>ANEBY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45357</v>
      </c>
      <c r="E328" s="1" t="n">
        <v>46242</v>
      </c>
      <c r="F328" t="inlineStr">
        <is>
          <t>JÖNKÖPINGS LÄN</t>
        </is>
      </c>
      <c r="G328" t="inlineStr">
        <is>
          <t>ANEBY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45357</v>
      </c>
      <c r="E329" s="1" t="n">
        <v>46242</v>
      </c>
      <c r="F329" t="inlineStr">
        <is>
          <t>JÖNKÖPINGS LÄN</t>
        </is>
      </c>
      <c r="G329" t="inlineStr">
        <is>
          <t>ANEBY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51160-2021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44461</v>
      </c>
      <c r="E330" s="1" t="n">
        <v>46242</v>
      </c>
      <c r="F330" t="inlineStr">
        <is>
          <t>JÖNKÖPINGS LÄN</t>
        </is>
      </c>
      <c r="G330" t="inlineStr">
        <is>
          <t>ANEBY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45089</v>
      </c>
      <c r="E331" s="1" t="n">
        <v>46242</v>
      </c>
      <c r="F331" t="inlineStr">
        <is>
          <t>JÖNKÖPINGS LÄN</t>
        </is>
      </c>
      <c r="G331" t="inlineStr">
        <is>
          <t>ANEBY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46242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44461</v>
      </c>
      <c r="E333" s="1" t="n">
        <v>46242</v>
      </c>
      <c r="F333" t="inlineStr">
        <is>
          <t>JÖNKÖPINGS LÄN</t>
        </is>
      </c>
      <c r="G333" t="inlineStr">
        <is>
          <t>ANEBY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46242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50069-2024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45600</v>
      </c>
      <c r="E335" s="1" t="n">
        <v>46242</v>
      </c>
      <c r="F335" t="inlineStr">
        <is>
          <t>JÖNKÖPINGS LÄN</t>
        </is>
      </c>
      <c r="G335" t="inlineStr">
        <is>
          <t>ANEBY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45161</v>
      </c>
      <c r="E336" s="1" t="n">
        <v>46242</v>
      </c>
      <c r="F336" t="inlineStr">
        <is>
          <t>JÖNKÖPINGS LÄN</t>
        </is>
      </c>
      <c r="G336" t="inlineStr">
        <is>
          <t>ANEBY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44565</v>
      </c>
      <c r="E337" s="1" t="n">
        <v>46242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46242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46242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46242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45594</v>
      </c>
      <c r="E341" s="1" t="n">
        <v>46242</v>
      </c>
      <c r="F341" t="inlineStr">
        <is>
          <t>JÖNKÖPINGS LÄN</t>
        </is>
      </c>
      <c r="G341" t="inlineStr">
        <is>
          <t>ANEBY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47118-2023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46242</v>
      </c>
      <c r="F342" t="inlineStr">
        <is>
          <t>JÖNKÖPINGS LÄN</t>
        </is>
      </c>
      <c r="G342" t="inlineStr">
        <is>
          <t>ANEBY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45398</v>
      </c>
      <c r="E343" s="1" t="n">
        <v>46242</v>
      </c>
      <c r="F343" t="inlineStr">
        <is>
          <t>JÖNKÖPINGS LÄN</t>
        </is>
      </c>
      <c r="G343" t="inlineStr">
        <is>
          <t>ANEBY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46242</v>
      </c>
      <c r="F344" t="inlineStr">
        <is>
          <t>JÖNKÖPINGS LÄN</t>
        </is>
      </c>
      <c r="G344" t="inlineStr">
        <is>
          <t>ANEBY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5767-2022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44848</v>
      </c>
      <c r="E345" s="1" t="n">
        <v>46242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6633-2022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44886</v>
      </c>
      <c r="E346" s="1" t="n">
        <v>46242</v>
      </c>
      <c r="F346" t="inlineStr">
        <is>
          <t>JÖNKÖPINGS LÄN</t>
        </is>
      </c>
      <c r="G346" t="inlineStr">
        <is>
          <t>ANEBY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1677-2023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45063</v>
      </c>
      <c r="E347" s="1" t="n">
        <v>46242</v>
      </c>
      <c r="F347" t="inlineStr">
        <is>
          <t>JÖNKÖPINGS LÄN</t>
        </is>
      </c>
      <c r="G347" t="inlineStr">
        <is>
          <t>ANEBY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7492-2021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44475</v>
      </c>
      <c r="E348" s="1" t="n">
        <v>46242</v>
      </c>
      <c r="F348" t="inlineStr">
        <is>
          <t>JÖNKÖPINGS LÄN</t>
        </is>
      </c>
      <c r="G348" t="inlineStr">
        <is>
          <t>ANEBY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3586-2024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45546</v>
      </c>
      <c r="E349" s="1" t="n">
        <v>46242</v>
      </c>
      <c r="F349" t="inlineStr">
        <is>
          <t>JÖNKÖPINGS LÄN</t>
        </is>
      </c>
      <c r="G349" t="inlineStr">
        <is>
          <t>ANEBY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6631-2022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46242</v>
      </c>
      <c r="F350" t="inlineStr">
        <is>
          <t>JÖNKÖPINGS LÄN</t>
        </is>
      </c>
      <c r="G350" t="inlineStr">
        <is>
          <t>ANEBY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1729-2023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45069</v>
      </c>
      <c r="E351" s="1" t="n">
        <v>46242</v>
      </c>
      <c r="F351" t="inlineStr">
        <is>
          <t>JÖNKÖPINGS LÄN</t>
        </is>
      </c>
      <c r="G351" t="inlineStr">
        <is>
          <t>ANEBY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2550-2023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45135</v>
      </c>
      <c r="E352" s="1" t="n">
        <v>46242</v>
      </c>
      <c r="F352" t="inlineStr">
        <is>
          <t>JÖNKÖPINGS LÄN</t>
        </is>
      </c>
      <c r="G352" t="inlineStr">
        <is>
          <t>ANEBY</t>
        </is>
      </c>
      <c r="I352" t="n">
        <v>58.3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805-2022</t>
        </is>
      </c>
      <c r="B353" t="inlineStr">
        <is>
          <t>samrådsanmälan</t>
        </is>
      </c>
      <c r="C353" t="inlineStr">
        <is>
          <t>Skogsbilväg</t>
        </is>
      </c>
      <c r="D353" s="1" t="n">
        <v>44603</v>
      </c>
      <c r="E353" s="1" t="n">
        <v>46242</v>
      </c>
      <c r="F353" t="inlineStr">
        <is>
          <t>JÖNKÖPINGS LÄN</t>
        </is>
      </c>
      <c r="G353" t="inlineStr">
        <is>
          <t>ANEBY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6634-2022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46242</v>
      </c>
      <c r="F354" t="inlineStr">
        <is>
          <t>JÖNKÖPINGS LÄN</t>
        </is>
      </c>
      <c r="G354" t="inlineStr">
        <is>
          <t>ANEBY</t>
        </is>
      </c>
      <c r="I354" t="n">
        <v>34.3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6623-2022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46242</v>
      </c>
      <c r="F355" t="inlineStr">
        <is>
          <t>JÖNKÖPINGS LÄN</t>
        </is>
      </c>
      <c r="G355" t="inlineStr">
        <is>
          <t>ANEBY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469-2025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45702</v>
      </c>
      <c r="E356" s="1" t="n">
        <v>46242</v>
      </c>
      <c r="F356" t="inlineStr">
        <is>
          <t>JÖNKÖPINGS LÄN</t>
        </is>
      </c>
      <c r="G356" t="inlineStr">
        <is>
          <t>ANEBY</t>
        </is>
      </c>
      <c r="I356" t="n">
        <v>22.8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46029</v>
      </c>
      <c r="E357" s="1" t="n">
        <v>46242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>
      <c r="A358" t="inlineStr">
        <is>
          <t>S 1152-2026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46135</v>
      </c>
      <c r="E358" s="1" t="n">
        <v>46242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2026-08-08T01:52:59Z</dcterms:created>
  <dcterms:modified xmlns:dcterms="http://purl.org/dc/terms/" xmlns:xsi="http://www.w3.org/2001/XMLSchema-instance" xsi:type="dcterms:W3CDTF">2026-08-08T01:52:59Z</dcterms:modified>
</cp:coreProperties>
</file>