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46233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46233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46233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46233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46233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46233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46233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46233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46233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46233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46233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46233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46233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46233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46233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46233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46233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46233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46233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46233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46233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46233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46233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HYPERLINK("https://klasma.github.io/Logging_0604/artfynd/A 38728-2024 artfynd.xlsx", "A 38728-2024")</f>
        <v/>
      </c>
      <c r="X28">
        <f>HYPERLINK("https://klasma.github.io/Logging_0604/kartor/A 38728-2024 karta.png", "A 38728-2024")</f>
        <v/>
      </c>
      <c r="Y28">
        <f>HYPERLINK("https://klasma.github.io/Logging_0604/kartor_geotiff/A 38728-2024 georefererad karta.tif", "A 38728-2024")</f>
        <v/>
      </c>
      <c r="AA28">
        <f>HYPERLINK("https://klasma.github.io/Logging_0604/klagomål/A 38728-2024 FSC-klagomål.docx", "A 38728-2024")</f>
        <v/>
      </c>
      <c r="AB28">
        <f>HYPERLINK("https://klasma.github.io/Logging_0604/klagomålsmail/A 38728-2024 FSC-klagomål mail.docx", "A 38728-2024")</f>
        <v/>
      </c>
      <c r="AC28">
        <f>HYPERLINK("https://klasma.github.io/Logging_0604/tillsyn/A 38728-2024 tillsynsbegäran.docx", "A 38728-2024")</f>
        <v/>
      </c>
      <c r="AD28">
        <f>HYPERLINK("https://klasma.github.io/Logging_0604/tillsynsmail/A 38728-2024 tillsynsbegäran mail.docx", "A 38728-2024")</f>
        <v/>
      </c>
      <c r="AE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46233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HYPERLINK("https://klasma.github.io/Logging_0604/artfynd/A 13163-2024 artfynd.xlsx", "A 13163-2024")</f>
        <v/>
      </c>
      <c r="X29">
        <f>HYPERLINK("https://klasma.github.io/Logging_0604/kartor/A 13163-2024 karta.png", "A 13163-2024")</f>
        <v/>
      </c>
      <c r="Y29">
        <f>HYPERLINK("https://klasma.github.io/Logging_0604/kartor_geotiff/A 13163-2024 georefererad karta.tif", "A 13163-2024")</f>
        <v/>
      </c>
      <c r="AA29">
        <f>HYPERLINK("https://klasma.github.io/Logging_0604/klagomål/A 13163-2024 FSC-klagomål.docx", "A 13163-2024")</f>
        <v/>
      </c>
      <c r="AB29">
        <f>HYPERLINK("https://klasma.github.io/Logging_0604/klagomålsmail/A 13163-2024 FSC-klagomål mail.docx", "A 13163-2024")</f>
        <v/>
      </c>
      <c r="AC29">
        <f>HYPERLINK("https://klasma.github.io/Logging_0604/tillsyn/A 13163-2024 tillsynsbegäran.docx", "A 13163-2024")</f>
        <v/>
      </c>
      <c r="AD29">
        <f>HYPERLINK("https://klasma.github.io/Logging_0604/tillsynsmail/A 13163-2024 tillsynsbegäran mail.docx", "A 13163-2024")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46233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46233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46233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46233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46233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46233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46233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46233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46233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46233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46233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46233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46233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46233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46233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46233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46233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46233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46233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46233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46233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46233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46233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46233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46233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46233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46233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46233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46233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46233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46233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46233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46233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46233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46233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46233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46233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46233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46233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46233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46233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46233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46233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46233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46233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46233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44423</v>
      </c>
      <c r="E76" s="1" t="n">
        <v>46233</v>
      </c>
      <c r="F76" t="inlineStr">
        <is>
          <t>JÖNKÖPINGS LÄN</t>
        </is>
      </c>
      <c r="G76" t="inlineStr">
        <is>
          <t>ANEBY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45806-2023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46233</v>
      </c>
      <c r="F77" t="inlineStr">
        <is>
          <t>JÖNKÖPINGS LÄN</t>
        </is>
      </c>
      <c r="G77" t="inlineStr">
        <is>
          <t>ANEBY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46233</v>
      </c>
      <c r="F78" t="inlineStr">
        <is>
          <t>JÖNKÖPINGS LÄN</t>
        </is>
      </c>
      <c r="G78" t="inlineStr">
        <is>
          <t>ANEBY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46233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46233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46233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46233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46233</v>
      </c>
      <c r="F83" t="inlineStr">
        <is>
          <t>JÖNKÖPINGS LÄN</t>
        </is>
      </c>
      <c r="G83" t="inlineStr">
        <is>
          <t>ANEBY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45250</v>
      </c>
      <c r="E84" s="1" t="n">
        <v>46233</v>
      </c>
      <c r="F84" t="inlineStr">
        <is>
          <t>JÖNKÖPINGS LÄN</t>
        </is>
      </c>
      <c r="G84" t="inlineStr">
        <is>
          <t>ANEBY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46233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46233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24901-2024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46233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44860</v>
      </c>
      <c r="E88" s="1" t="n">
        <v>46233</v>
      </c>
      <c r="F88" t="inlineStr">
        <is>
          <t>JÖNKÖPINGS LÄN</t>
        </is>
      </c>
      <c r="G88" t="inlineStr">
        <is>
          <t>ANEBY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46233</v>
      </c>
      <c r="F89" t="inlineStr">
        <is>
          <t>JÖNKÖPINGS LÄN</t>
        </is>
      </c>
      <c r="G89" t="inlineStr">
        <is>
          <t>ANEBY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46233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45356</v>
      </c>
      <c r="E91" s="1" t="n">
        <v>46233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45330</v>
      </c>
      <c r="E92" s="1" t="n">
        <v>46233</v>
      </c>
      <c r="F92" t="inlineStr">
        <is>
          <t>JÖNKÖPINGS LÄN</t>
        </is>
      </c>
      <c r="G92" t="inlineStr">
        <is>
          <t>ANEBY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44890</v>
      </c>
      <c r="E93" s="1" t="n">
        <v>46233</v>
      </c>
      <c r="F93" t="inlineStr">
        <is>
          <t>JÖNKÖPINGS LÄN</t>
        </is>
      </c>
      <c r="G93" t="inlineStr">
        <is>
          <t>ANEBY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46233</v>
      </c>
      <c r="F94" t="inlineStr">
        <is>
          <t>JÖNKÖPINGS LÄN</t>
        </is>
      </c>
      <c r="G94" t="inlineStr">
        <is>
          <t>ANEBY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35555-2024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45531</v>
      </c>
      <c r="E95" s="1" t="n">
        <v>46233</v>
      </c>
      <c r="F95" t="inlineStr">
        <is>
          <t>JÖNKÖPINGS LÄN</t>
        </is>
      </c>
      <c r="G95" t="inlineStr">
        <is>
          <t>ANEBY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23607-2024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46233</v>
      </c>
      <c r="F96" t="inlineStr">
        <is>
          <t>JÖNKÖPINGS LÄN</t>
        </is>
      </c>
      <c r="G96" t="inlineStr">
        <is>
          <t>ANEBY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45275</v>
      </c>
      <c r="E97" s="1" t="n">
        <v>46233</v>
      </c>
      <c r="F97" t="inlineStr">
        <is>
          <t>JÖNKÖPINGS LÄN</t>
        </is>
      </c>
      <c r="G97" t="inlineStr">
        <is>
          <t>ANEBY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25963-2024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45467</v>
      </c>
      <c r="E98" s="1" t="n">
        <v>46233</v>
      </c>
      <c r="F98" t="inlineStr">
        <is>
          <t>JÖNKÖPINGS LÄN</t>
        </is>
      </c>
      <c r="G98" t="inlineStr">
        <is>
          <t>ANEBY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  <c r="Z98">
        <f>HYPERLINK("https://klasma.github.io/Logging_0604/knärot/A 25963-2024 karta knärot.png", "A 25963-2024")</f>
        <v/>
      </c>
      <c r="AA98">
        <f>HYPERLINK("https://klasma.github.io/Logging_0604/klagomål/A 25963-2024 FSC-klagomål.docx", "A 25963-2024")</f>
        <v/>
      </c>
      <c r="AB98">
        <f>HYPERLINK("https://klasma.github.io/Logging_0604/klagomålsmail/A 25963-2024 FSC-klagomål mail.docx", "A 25963-2024")</f>
        <v/>
      </c>
      <c r="AC98">
        <f>HYPERLINK("https://klasma.github.io/Logging_0604/tillsyn/A 25963-2024 tillsynsbegäran.docx", "A 25963-2024")</f>
        <v/>
      </c>
      <c r="AD98">
        <f>HYPERLINK("https://klasma.github.io/Logging_0604/tillsynsmail/A 25963-2024 tillsynsbegäran mail.docx", "A 25963-2024")</f>
        <v/>
      </c>
    </row>
    <row r="99" ht="15" customHeight="1">
      <c r="A99" t="inlineStr">
        <is>
          <t>A 37343-2023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45156</v>
      </c>
      <c r="E99" s="1" t="n">
        <v>46233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46233</v>
      </c>
      <c r="F100" t="inlineStr">
        <is>
          <t>JÖNKÖPINGS LÄN</t>
        </is>
      </c>
      <c r="G100" t="inlineStr">
        <is>
          <t>ANEBY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46233</v>
      </c>
      <c r="F101" t="inlineStr">
        <is>
          <t>JÖNKÖPINGS LÄN</t>
        </is>
      </c>
      <c r="G101" t="inlineStr">
        <is>
          <t>ANEBY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27714-2024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45475</v>
      </c>
      <c r="E102" s="1" t="n">
        <v>46233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46233</v>
      </c>
      <c r="F103" t="inlineStr">
        <is>
          <t>JÖNKÖPINGS LÄN</t>
        </is>
      </c>
      <c r="G103" t="inlineStr">
        <is>
          <t>ANEBY</t>
        </is>
      </c>
      <c r="H103" t="inlineStr">
        <is>
          <t>Övriga Aktiebolag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46233</v>
      </c>
      <c r="F104" t="inlineStr">
        <is>
          <t>JÖNKÖPINGS LÄN</t>
        </is>
      </c>
      <c r="G104" t="inlineStr">
        <is>
          <t>ANEBY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44859</v>
      </c>
      <c r="E105" s="1" t="n">
        <v>46233</v>
      </c>
      <c r="F105" t="inlineStr">
        <is>
          <t>JÖNKÖPINGS LÄN</t>
        </is>
      </c>
      <c r="G105" t="inlineStr">
        <is>
          <t>ANEBY</t>
        </is>
      </c>
      <c r="H105" t="inlineStr">
        <is>
          <t>Övriga Aktiebolag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46233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46233</v>
      </c>
      <c r="F107" t="inlineStr">
        <is>
          <t>JÖNKÖPINGS LÄN</t>
        </is>
      </c>
      <c r="G107" t="inlineStr">
        <is>
          <t>ANEBY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46233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12477-2023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44999</v>
      </c>
      <c r="E109" s="1" t="n">
        <v>46233</v>
      </c>
      <c r="F109" t="inlineStr">
        <is>
          <t>JÖNKÖPINGS LÄN</t>
        </is>
      </c>
      <c r="G109" t="inlineStr">
        <is>
          <t>ANEBY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28543-2025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46233</v>
      </c>
      <c r="F110" t="inlineStr">
        <is>
          <t>JÖNKÖPINGS LÄN</t>
        </is>
      </c>
      <c r="G110" t="inlineStr">
        <is>
          <t>ANEBY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46233</v>
      </c>
      <c r="F111" t="inlineStr">
        <is>
          <t>JÖNKÖPINGS LÄN</t>
        </is>
      </c>
      <c r="G111" t="inlineStr">
        <is>
          <t>ANEBY</t>
        </is>
      </c>
      <c r="I111" t="n">
        <v>10.1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46233</v>
      </c>
      <c r="F112" t="inlineStr">
        <is>
          <t>JÖNKÖPINGS LÄN</t>
        </is>
      </c>
      <c r="G112" t="inlineStr">
        <is>
          <t>ANEBY</t>
        </is>
      </c>
      <c r="H112" t="inlineStr">
        <is>
          <t>Övriga Aktiebolag</t>
        </is>
      </c>
      <c r="I112" t="n">
        <v>16.8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45555</v>
      </c>
      <c r="E113" s="1" t="n">
        <v>46233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46233</v>
      </c>
      <c r="F114" t="inlineStr">
        <is>
          <t>JÖNKÖPINGS LÄN</t>
        </is>
      </c>
      <c r="G114" t="inlineStr">
        <is>
          <t>ANEBY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31087-2025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46233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45903</v>
      </c>
      <c r="E116" s="1" t="n">
        <v>46233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45358</v>
      </c>
      <c r="E117" s="1" t="n">
        <v>46233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46233</v>
      </c>
      <c r="F118" t="inlineStr">
        <is>
          <t>JÖNKÖPINGS LÄN</t>
        </is>
      </c>
      <c r="G118" t="inlineStr">
        <is>
          <t>ANEBY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46233</v>
      </c>
      <c r="F119" t="inlineStr">
        <is>
          <t>JÖNKÖPINGS LÄN</t>
        </is>
      </c>
      <c r="G119" t="inlineStr">
        <is>
          <t>ANEBY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45838</v>
      </c>
      <c r="E120" s="1" t="n">
        <v>46233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46233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46233</v>
      </c>
      <c r="F122" t="inlineStr">
        <is>
          <t>JÖNKÖPINGS LÄN</t>
        </is>
      </c>
      <c r="G122" t="inlineStr">
        <is>
          <t>ANEBY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46233</v>
      </c>
      <c r="F123" t="inlineStr">
        <is>
          <t>JÖNKÖPINGS LÄN</t>
        </is>
      </c>
      <c r="G123" t="inlineStr">
        <is>
          <t>ANEBY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46233</v>
      </c>
      <c r="F124" t="inlineStr">
        <is>
          <t>JÖNKÖPINGS LÄN</t>
        </is>
      </c>
      <c r="G124" t="inlineStr">
        <is>
          <t>ANEBY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43528-2025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45911</v>
      </c>
      <c r="E125" s="1" t="n">
        <v>46233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44888</v>
      </c>
      <c r="E126" s="1" t="n">
        <v>46233</v>
      </c>
      <c r="F126" t="inlineStr">
        <is>
          <t>JÖNKÖPINGS LÄN</t>
        </is>
      </c>
      <c r="G126" t="inlineStr">
        <is>
          <t>ANEBY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46233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46233</v>
      </c>
      <c r="F128" t="inlineStr">
        <is>
          <t>JÖNKÖPINGS LÄN</t>
        </is>
      </c>
      <c r="G128" t="inlineStr">
        <is>
          <t>ANEBY</t>
        </is>
      </c>
      <c r="H128" t="inlineStr">
        <is>
          <t>Övriga Aktiebolag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45688</v>
      </c>
      <c r="E129" s="1" t="n">
        <v>46233</v>
      </c>
      <c r="F129" t="inlineStr">
        <is>
          <t>JÖNKÖPINGS LÄN</t>
        </is>
      </c>
      <c r="G129" t="inlineStr">
        <is>
          <t>ANEBY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45924</v>
      </c>
      <c r="E130" s="1" t="n">
        <v>46233</v>
      </c>
      <c r="F130" t="inlineStr">
        <is>
          <t>JÖNKÖPINGS LÄN</t>
        </is>
      </c>
      <c r="G130" t="inlineStr">
        <is>
          <t>ANEBY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46233</v>
      </c>
      <c r="F131" t="inlineStr">
        <is>
          <t>JÖNKÖPINGS LÄN</t>
        </is>
      </c>
      <c r="G131" t="inlineStr">
        <is>
          <t>ANEBY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9068-2024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46233</v>
      </c>
      <c r="F132" t="inlineStr">
        <is>
          <t>JÖNKÖPINGS LÄN</t>
        </is>
      </c>
      <c r="G132" t="inlineStr">
        <is>
          <t>ANEBY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11565-2025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45727</v>
      </c>
      <c r="E133" s="1" t="n">
        <v>46233</v>
      </c>
      <c r="F133" t="inlineStr">
        <is>
          <t>JÖNKÖPINGS LÄN</t>
        </is>
      </c>
      <c r="G133" t="inlineStr">
        <is>
          <t>ANEBY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21026-2024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45439</v>
      </c>
      <c r="E134" s="1" t="n">
        <v>46233</v>
      </c>
      <c r="F134" t="inlineStr">
        <is>
          <t>JÖNKÖPINGS LÄN</t>
        </is>
      </c>
      <c r="G134" t="inlineStr">
        <is>
          <t>ANEBY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48728-2025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46233</v>
      </c>
      <c r="F135" t="inlineStr">
        <is>
          <t>JÖNKÖPINGS LÄN</t>
        </is>
      </c>
      <c r="G135" t="inlineStr">
        <is>
          <t>ANEBY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46233</v>
      </c>
      <c r="F136" t="inlineStr">
        <is>
          <t>JÖNKÖPINGS LÄN</t>
        </is>
      </c>
      <c r="G136" t="inlineStr">
        <is>
          <t>ANEBY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46233</v>
      </c>
      <c r="F137" t="inlineStr">
        <is>
          <t>JÖNKÖPINGS LÄN</t>
        </is>
      </c>
      <c r="G137" t="inlineStr">
        <is>
          <t>ANEBY</t>
        </is>
      </c>
      <c r="H137" t="inlineStr">
        <is>
          <t>Kyrkan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45617</v>
      </c>
      <c r="E138" s="1" t="n">
        <v>46233</v>
      </c>
      <c r="F138" t="inlineStr">
        <is>
          <t>JÖNKÖPINGS LÄN</t>
        </is>
      </c>
      <c r="G138" t="inlineStr">
        <is>
          <t>ANEBY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46233</v>
      </c>
      <c r="F139" t="inlineStr">
        <is>
          <t>JÖNKÖPINGS LÄN</t>
        </is>
      </c>
      <c r="G139" t="inlineStr">
        <is>
          <t>ANEBY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46233</v>
      </c>
      <c r="F140" t="inlineStr">
        <is>
          <t>JÖNKÖPINGS LÄN</t>
        </is>
      </c>
      <c r="G140" t="inlineStr">
        <is>
          <t>ANEBY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46233</v>
      </c>
      <c r="F141" t="inlineStr">
        <is>
          <t>JÖNKÖPINGS LÄN</t>
        </is>
      </c>
      <c r="G141" t="inlineStr">
        <is>
          <t>ANEBY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6827-2026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46057</v>
      </c>
      <c r="E142" s="1" t="n">
        <v>46233</v>
      </c>
      <c r="F142" t="inlineStr">
        <is>
          <t>JÖNKÖPINGS LÄN</t>
        </is>
      </c>
      <c r="G142" t="inlineStr">
        <is>
          <t>ANEBY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46233</v>
      </c>
      <c r="F143" t="inlineStr">
        <is>
          <t>JÖNKÖPINGS LÄN</t>
        </is>
      </c>
      <c r="G143" t="inlineStr">
        <is>
          <t>ANEBY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7263-2026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46058</v>
      </c>
      <c r="E144" s="1" t="n">
        <v>46233</v>
      </c>
      <c r="F144" t="inlineStr">
        <is>
          <t>JÖNKÖPINGS LÄN</t>
        </is>
      </c>
      <c r="G144" t="inlineStr">
        <is>
          <t>ANEBY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46057</v>
      </c>
      <c r="E145" s="1" t="n">
        <v>46233</v>
      </c>
      <c r="F145" t="inlineStr">
        <is>
          <t>JÖNKÖPINGS LÄN</t>
        </is>
      </c>
      <c r="G145" t="inlineStr">
        <is>
          <t>ANEBY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46057</v>
      </c>
      <c r="E146" s="1" t="n">
        <v>46233</v>
      </c>
      <c r="F146" t="inlineStr">
        <is>
          <t>JÖNKÖPINGS LÄN</t>
        </is>
      </c>
      <c r="G146" t="inlineStr">
        <is>
          <t>ANEBY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46233</v>
      </c>
      <c r="F147" t="inlineStr">
        <is>
          <t>JÖNKÖPINGS LÄN</t>
        </is>
      </c>
      <c r="G147" t="inlineStr">
        <is>
          <t>ANEBY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46233</v>
      </c>
      <c r="F148" t="inlineStr">
        <is>
          <t>JÖNKÖPINGS LÄN</t>
        </is>
      </c>
      <c r="G148" t="inlineStr">
        <is>
          <t>ANEBY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46233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46233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46233</v>
      </c>
      <c r="F151" t="inlineStr">
        <is>
          <t>JÖNKÖPINGS LÄN</t>
        </is>
      </c>
      <c r="G151" t="inlineStr">
        <is>
          <t>ANEBY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46233</v>
      </c>
      <c r="F152" t="inlineStr">
        <is>
          <t>JÖNKÖPINGS LÄN</t>
        </is>
      </c>
      <c r="G152" t="inlineStr">
        <is>
          <t>ANEBY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46233</v>
      </c>
      <c r="F153" t="inlineStr">
        <is>
          <t>JÖNKÖPINGS LÄN</t>
        </is>
      </c>
      <c r="G153" t="inlineStr">
        <is>
          <t>ANEBY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46233</v>
      </c>
      <c r="F154" t="inlineStr">
        <is>
          <t>JÖNKÖPINGS LÄN</t>
        </is>
      </c>
      <c r="G154" t="inlineStr">
        <is>
          <t>ANEBY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46233</v>
      </c>
      <c r="F155" t="inlineStr">
        <is>
          <t>JÖNKÖPINGS LÄN</t>
        </is>
      </c>
      <c r="G155" t="inlineStr">
        <is>
          <t>ANEBY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46233</v>
      </c>
      <c r="F156" t="inlineStr">
        <is>
          <t>JÖNKÖPINGS LÄN</t>
        </is>
      </c>
      <c r="G156" t="inlineStr">
        <is>
          <t>ANEBY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46233</v>
      </c>
      <c r="F157" t="inlineStr">
        <is>
          <t>JÖNKÖPINGS LÄN</t>
        </is>
      </c>
      <c r="G157" t="inlineStr">
        <is>
          <t>ANEBY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46233</v>
      </c>
      <c r="F158" t="inlineStr">
        <is>
          <t>JÖNKÖPINGS LÄN</t>
        </is>
      </c>
      <c r="G158" t="inlineStr">
        <is>
          <t>ANEBY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44705</v>
      </c>
      <c r="E159" s="1" t="n">
        <v>46233</v>
      </c>
      <c r="F159" t="inlineStr">
        <is>
          <t>JÖNKÖPINGS LÄN</t>
        </is>
      </c>
      <c r="G159" t="inlineStr">
        <is>
          <t>ANEBY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46233</v>
      </c>
      <c r="F160" t="inlineStr">
        <is>
          <t>JÖNKÖPINGS LÄN</t>
        </is>
      </c>
      <c r="G160" t="inlineStr">
        <is>
          <t>ANEBY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45141</v>
      </c>
      <c r="E161" s="1" t="n">
        <v>46233</v>
      </c>
      <c r="F161" t="inlineStr">
        <is>
          <t>JÖNKÖPINGS LÄN</t>
        </is>
      </c>
      <c r="G161" t="inlineStr">
        <is>
          <t>ANEBY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46233</v>
      </c>
      <c r="F162" t="inlineStr">
        <is>
          <t>JÖNKÖPINGS LÄN</t>
        </is>
      </c>
      <c r="G162" t="inlineStr">
        <is>
          <t>ANEBY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45552</v>
      </c>
      <c r="E163" s="1" t="n">
        <v>46233</v>
      </c>
      <c r="F163" t="inlineStr">
        <is>
          <t>JÖNKÖPINGS LÄN</t>
        </is>
      </c>
      <c r="G163" t="inlineStr">
        <is>
          <t>ANEBY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46233</v>
      </c>
      <c r="F164" t="inlineStr">
        <is>
          <t>JÖNKÖPINGS LÄN</t>
        </is>
      </c>
      <c r="G164" t="inlineStr">
        <is>
          <t>ANEBY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46233</v>
      </c>
      <c r="F165" t="inlineStr">
        <is>
          <t>JÖNKÖPINGS LÄN</t>
        </is>
      </c>
      <c r="G165" t="inlineStr">
        <is>
          <t>ANEBY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43613-2023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45184</v>
      </c>
      <c r="E166" s="1" t="n">
        <v>46233</v>
      </c>
      <c r="F166" t="inlineStr">
        <is>
          <t>JÖNKÖPINGS LÄN</t>
        </is>
      </c>
      <c r="G166" t="inlineStr">
        <is>
          <t>ANEBY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57174-2021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44482</v>
      </c>
      <c r="E167" s="1" t="n">
        <v>46233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46233</v>
      </c>
      <c r="F168" t="inlineStr">
        <is>
          <t>JÖNKÖPINGS LÄN</t>
        </is>
      </c>
      <c r="G168" t="inlineStr">
        <is>
          <t>ANEBY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46076</v>
      </c>
      <c r="E169" s="1" t="n">
        <v>46233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46233</v>
      </c>
      <c r="F170" t="inlineStr">
        <is>
          <t>JÖNKÖPINGS LÄN</t>
        </is>
      </c>
      <c r="G170" t="inlineStr">
        <is>
          <t>ANEBY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23349-2023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45076</v>
      </c>
      <c r="E171" s="1" t="n">
        <v>46233</v>
      </c>
      <c r="F171" t="inlineStr">
        <is>
          <t>JÖNKÖPINGS LÄN</t>
        </is>
      </c>
      <c r="G171" t="inlineStr">
        <is>
          <t>ANEBY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46233</v>
      </c>
      <c r="F172" t="inlineStr">
        <is>
          <t>JÖNKÖPINGS LÄN</t>
        </is>
      </c>
      <c r="G172" t="inlineStr">
        <is>
          <t>ANEBY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46073</v>
      </c>
      <c r="E173" s="1" t="n">
        <v>46233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45028</v>
      </c>
      <c r="E174" s="1" t="n">
        <v>46233</v>
      </c>
      <c r="F174" t="inlineStr">
        <is>
          <t>JÖNKÖPINGS LÄN</t>
        </is>
      </c>
      <c r="G174" t="inlineStr">
        <is>
          <t>ANEBY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45182</v>
      </c>
      <c r="E175" s="1" t="n">
        <v>46233</v>
      </c>
      <c r="F175" t="inlineStr">
        <is>
          <t>JÖNKÖPINGS LÄN</t>
        </is>
      </c>
      <c r="G175" t="inlineStr">
        <is>
          <t>ANEBY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45653</v>
      </c>
      <c r="E176" s="1" t="n">
        <v>46233</v>
      </c>
      <c r="F176" t="inlineStr">
        <is>
          <t>JÖNKÖPINGS LÄN</t>
        </is>
      </c>
      <c r="G176" t="inlineStr">
        <is>
          <t>ANEBY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45691</v>
      </c>
      <c r="E177" s="1" t="n">
        <v>46233</v>
      </c>
      <c r="F177" t="inlineStr">
        <is>
          <t>JÖNKÖPINGS LÄN</t>
        </is>
      </c>
      <c r="G177" t="inlineStr">
        <is>
          <t>ANEBY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46233</v>
      </c>
      <c r="F178" t="inlineStr">
        <is>
          <t>JÖNKÖPINGS LÄN</t>
        </is>
      </c>
      <c r="G178" t="inlineStr">
        <is>
          <t>ANEBY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46233</v>
      </c>
      <c r="F179" t="inlineStr">
        <is>
          <t>JÖNKÖPINGS LÄN</t>
        </is>
      </c>
      <c r="G179" t="inlineStr">
        <is>
          <t>ANEBY</t>
        </is>
      </c>
      <c r="H179" t="inlineStr">
        <is>
          <t>Övriga Aktiebolag</t>
        </is>
      </c>
      <c r="I179" t="n">
        <v>19.6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46233</v>
      </c>
      <c r="F180" t="inlineStr">
        <is>
          <t>JÖNKÖPINGS LÄN</t>
        </is>
      </c>
      <c r="G180" t="inlineStr">
        <is>
          <t>ANEBY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46233</v>
      </c>
      <c r="F181" t="inlineStr">
        <is>
          <t>JÖNKÖPINGS LÄN</t>
        </is>
      </c>
      <c r="G181" t="inlineStr">
        <is>
          <t>ANEBY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46233</v>
      </c>
      <c r="F182" t="inlineStr">
        <is>
          <t>JÖNKÖPINGS LÄN</t>
        </is>
      </c>
      <c r="G182" t="inlineStr">
        <is>
          <t>ANEBY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16928-2023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45033</v>
      </c>
      <c r="E183" s="1" t="n">
        <v>46233</v>
      </c>
      <c r="F183" t="inlineStr">
        <is>
          <t>JÖNKÖPINGS LÄN</t>
        </is>
      </c>
      <c r="G183" t="inlineStr">
        <is>
          <t>ANEBY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45982</v>
      </c>
      <c r="E184" s="1" t="n">
        <v>46233</v>
      </c>
      <c r="F184" t="inlineStr">
        <is>
          <t>JÖNKÖPINGS LÄN</t>
        </is>
      </c>
      <c r="G184" t="inlineStr">
        <is>
          <t>ANEBY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46233</v>
      </c>
      <c r="F185" t="inlineStr">
        <is>
          <t>JÖNKÖPINGS LÄN</t>
        </is>
      </c>
      <c r="G185" t="inlineStr">
        <is>
          <t>ANEBY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46233</v>
      </c>
      <c r="F186" t="inlineStr">
        <is>
          <t>JÖNKÖPINGS LÄN</t>
        </is>
      </c>
      <c r="G186" t="inlineStr">
        <is>
          <t>ANEBY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20219-2025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45772</v>
      </c>
      <c r="E187" s="1" t="n">
        <v>46233</v>
      </c>
      <c r="F187" t="inlineStr">
        <is>
          <t>JÖNKÖPINGS LÄN</t>
        </is>
      </c>
      <c r="G187" t="inlineStr">
        <is>
          <t>ANEBY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13038-2026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46093</v>
      </c>
      <c r="E188" s="1" t="n">
        <v>46233</v>
      </c>
      <c r="F188" t="inlineStr">
        <is>
          <t>JÖNKÖPINGS LÄN</t>
        </is>
      </c>
      <c r="G188" t="inlineStr">
        <is>
          <t>ANEBY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60094-2025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46233</v>
      </c>
      <c r="F189" t="inlineStr">
        <is>
          <t>JÖNKÖPINGS LÄN</t>
        </is>
      </c>
      <c r="G189" t="inlineStr">
        <is>
          <t>ANEBY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46233</v>
      </c>
      <c r="F190" t="inlineStr">
        <is>
          <t>JÖNKÖPINGS LÄN</t>
        </is>
      </c>
      <c r="G190" t="inlineStr">
        <is>
          <t>ANEBY</t>
        </is>
      </c>
      <c r="H190" t="inlineStr">
        <is>
          <t>Övriga Aktiebolag</t>
        </is>
      </c>
      <c r="I190" t="n">
        <v>20.7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46233</v>
      </c>
      <c r="F191" t="inlineStr">
        <is>
          <t>JÖNKÖPINGS LÄN</t>
        </is>
      </c>
      <c r="G191" t="inlineStr">
        <is>
          <t>ANEBY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45539</v>
      </c>
      <c r="E192" s="1" t="n">
        <v>46233</v>
      </c>
      <c r="F192" t="inlineStr">
        <is>
          <t>JÖNKÖPINGS LÄN</t>
        </is>
      </c>
      <c r="G192" t="inlineStr">
        <is>
          <t>ANEBY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44606</v>
      </c>
      <c r="E193" s="1" t="n">
        <v>46233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45016</v>
      </c>
      <c r="E194" s="1" t="n">
        <v>46233</v>
      </c>
      <c r="F194" t="inlineStr">
        <is>
          <t>JÖNKÖPINGS LÄN</t>
        </is>
      </c>
      <c r="G194" t="inlineStr">
        <is>
          <t>ANEBY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46233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23354-2023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45076</v>
      </c>
      <c r="E196" s="1" t="n">
        <v>46233</v>
      </c>
      <c r="F196" t="inlineStr">
        <is>
          <t>JÖNKÖPINGS LÄN</t>
        </is>
      </c>
      <c r="G196" t="inlineStr">
        <is>
          <t>ANEBY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46233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46104</v>
      </c>
      <c r="E198" s="1" t="n">
        <v>46233</v>
      </c>
      <c r="F198" t="inlineStr">
        <is>
          <t>JÖNKÖPINGS LÄN</t>
        </is>
      </c>
      <c r="G198" t="inlineStr">
        <is>
          <t>ANEBY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46233</v>
      </c>
      <c r="F199" t="inlineStr">
        <is>
          <t>JÖNKÖPINGS LÄN</t>
        </is>
      </c>
      <c r="G199" t="inlineStr">
        <is>
          <t>ANEBY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62090-2025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46006</v>
      </c>
      <c r="E200" s="1" t="n">
        <v>46233</v>
      </c>
      <c r="F200" t="inlineStr">
        <is>
          <t>JÖNKÖPINGS LÄN</t>
        </is>
      </c>
      <c r="G200" t="inlineStr">
        <is>
          <t>ANEBY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46233</v>
      </c>
      <c r="F201" t="inlineStr">
        <is>
          <t>JÖNKÖPINGS LÄN</t>
        </is>
      </c>
      <c r="G201" t="inlineStr">
        <is>
          <t>ANEBY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46233</v>
      </c>
      <c r="F202" t="inlineStr">
        <is>
          <t>JÖNKÖPINGS LÄN</t>
        </is>
      </c>
      <c r="G202" t="inlineStr">
        <is>
          <t>ANEBY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46233</v>
      </c>
      <c r="F203" t="inlineStr">
        <is>
          <t>JÖNKÖPINGS LÄN</t>
        </is>
      </c>
      <c r="G203" t="inlineStr">
        <is>
          <t>ANEBY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46233</v>
      </c>
      <c r="F204" t="inlineStr">
        <is>
          <t>JÖNKÖPINGS LÄN</t>
        </is>
      </c>
      <c r="G204" t="inlineStr">
        <is>
          <t>ANEBY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46233</v>
      </c>
      <c r="F205" t="inlineStr">
        <is>
          <t>JÖNKÖPINGS LÄN</t>
        </is>
      </c>
      <c r="G205" t="inlineStr">
        <is>
          <t>ANEBY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45028</v>
      </c>
      <c r="E206" s="1" t="n">
        <v>46233</v>
      </c>
      <c r="F206" t="inlineStr">
        <is>
          <t>JÖNKÖPINGS LÄN</t>
        </is>
      </c>
      <c r="G206" t="inlineStr">
        <is>
          <t>ANEBY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46233</v>
      </c>
      <c r="F207" t="inlineStr">
        <is>
          <t>JÖNKÖPINGS LÄN</t>
        </is>
      </c>
      <c r="G207" t="inlineStr">
        <is>
          <t>ANEBY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46233</v>
      </c>
      <c r="F208" t="inlineStr">
        <is>
          <t>JÖNKÖPINGS LÄN</t>
        </is>
      </c>
      <c r="G208" t="inlineStr">
        <is>
          <t>ANEBY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46020</v>
      </c>
      <c r="E209" s="1" t="n">
        <v>46233</v>
      </c>
      <c r="F209" t="inlineStr">
        <is>
          <t>JÖNKÖPINGS LÄN</t>
        </is>
      </c>
      <c r="G209" t="inlineStr">
        <is>
          <t>ANEBY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44461</v>
      </c>
      <c r="E210" s="1" t="n">
        <v>46233</v>
      </c>
      <c r="F210" t="inlineStr">
        <is>
          <t>JÖNKÖPINGS LÄN</t>
        </is>
      </c>
      <c r="G210" t="inlineStr">
        <is>
          <t>ANEBY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46021</v>
      </c>
      <c r="E211" s="1" t="n">
        <v>46233</v>
      </c>
      <c r="F211" t="inlineStr">
        <is>
          <t>JÖNKÖPINGS LÄN</t>
        </is>
      </c>
      <c r="G211" t="inlineStr">
        <is>
          <t>ANEBY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46021</v>
      </c>
      <c r="E212" s="1" t="n">
        <v>46233</v>
      </c>
      <c r="F212" t="inlineStr">
        <is>
          <t>JÖNKÖPINGS LÄN</t>
        </is>
      </c>
      <c r="G212" t="inlineStr">
        <is>
          <t>ANEBY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45089</v>
      </c>
      <c r="E213" s="1" t="n">
        <v>46233</v>
      </c>
      <c r="F213" t="inlineStr">
        <is>
          <t>JÖNKÖPINGS LÄN</t>
        </is>
      </c>
      <c r="G213" t="inlineStr">
        <is>
          <t>ANEBY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45183</v>
      </c>
      <c r="E214" s="1" t="n">
        <v>46233</v>
      </c>
      <c r="F214" t="inlineStr">
        <is>
          <t>JÖNKÖPINGS LÄN</t>
        </is>
      </c>
      <c r="G214" t="inlineStr">
        <is>
          <t>ANEBY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46233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46233</v>
      </c>
      <c r="F216" t="inlineStr">
        <is>
          <t>JÖNKÖPINGS LÄN</t>
        </is>
      </c>
      <c r="G216" t="inlineStr">
        <is>
          <t>ANEBY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45007</v>
      </c>
      <c r="E217" s="1" t="n">
        <v>46233</v>
      </c>
      <c r="F217" t="inlineStr">
        <is>
          <t>JÖNKÖPINGS LÄN</t>
        </is>
      </c>
      <c r="G217" t="inlineStr">
        <is>
          <t>ANEBY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46233</v>
      </c>
      <c r="F218" t="inlineStr">
        <is>
          <t>JÖNKÖPINGS LÄN</t>
        </is>
      </c>
      <c r="G218" t="inlineStr">
        <is>
          <t>ANEBY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59507-2022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44900</v>
      </c>
      <c r="E219" s="1" t="n">
        <v>46233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46233</v>
      </c>
      <c r="F220" t="inlineStr">
        <is>
          <t>JÖNKÖPINGS LÄN</t>
        </is>
      </c>
      <c r="G220" t="inlineStr">
        <is>
          <t>ANEBY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46233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46233</v>
      </c>
      <c r="F222" t="inlineStr">
        <is>
          <t>JÖNKÖPINGS LÄN</t>
        </is>
      </c>
      <c r="G222" t="inlineStr">
        <is>
          <t>ANEBY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46233</v>
      </c>
      <c r="F223" t="inlineStr">
        <is>
          <t>JÖNKÖPINGS LÄN</t>
        </is>
      </c>
      <c r="G223" t="inlineStr">
        <is>
          <t>ANEBY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46233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46233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46035</v>
      </c>
      <c r="E226" s="1" t="n">
        <v>46233</v>
      </c>
      <c r="F226" t="inlineStr">
        <is>
          <t>JÖNKÖPINGS LÄN</t>
        </is>
      </c>
      <c r="G226" t="inlineStr">
        <is>
          <t>ANEBY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46233</v>
      </c>
      <c r="F227" t="inlineStr">
        <is>
          <t>JÖNKÖPINGS LÄN</t>
        </is>
      </c>
      <c r="G227" t="inlineStr">
        <is>
          <t>ANEBY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18142-2026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46233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46233</v>
      </c>
      <c r="F229" t="inlineStr">
        <is>
          <t>JÖNKÖPINGS LÄN</t>
        </is>
      </c>
      <c r="G229" t="inlineStr">
        <is>
          <t>ANEBY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46126</v>
      </c>
      <c r="E230" s="1" t="n">
        <v>46233</v>
      </c>
      <c r="F230" t="inlineStr">
        <is>
          <t>JÖNKÖPINGS LÄN</t>
        </is>
      </c>
      <c r="G230" t="inlineStr">
        <is>
          <t>ANEBY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44959</v>
      </c>
      <c r="E231" s="1" t="n">
        <v>46233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45304</v>
      </c>
      <c r="E232" s="1" t="n">
        <v>46233</v>
      </c>
      <c r="F232" t="inlineStr">
        <is>
          <t>JÖNKÖPINGS LÄN</t>
        </is>
      </c>
      <c r="G232" t="inlineStr">
        <is>
          <t>ANEBY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46233</v>
      </c>
      <c r="F233" t="inlineStr">
        <is>
          <t>JÖNKÖPINGS LÄN</t>
        </is>
      </c>
      <c r="G233" t="inlineStr">
        <is>
          <t>ANEBY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38794-2023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45161</v>
      </c>
      <c r="E234" s="1" t="n">
        <v>46233</v>
      </c>
      <c r="F234" t="inlineStr">
        <is>
          <t>JÖNKÖPINGS LÄN</t>
        </is>
      </c>
      <c r="G234" t="inlineStr">
        <is>
          <t>ANEBY</t>
        </is>
      </c>
      <c r="H234" t="inlineStr">
        <is>
          <t>Övriga Aktiebolag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26236-2024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45468</v>
      </c>
      <c r="E235" s="1" t="n">
        <v>46233</v>
      </c>
      <c r="F235" t="inlineStr">
        <is>
          <t>JÖNKÖPINGS LÄN</t>
        </is>
      </c>
      <c r="G235" t="inlineStr">
        <is>
          <t>ANEBY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45707</v>
      </c>
      <c r="E236" s="1" t="n">
        <v>46233</v>
      </c>
      <c r="F236" t="inlineStr">
        <is>
          <t>JÖNKÖPINGS LÄN</t>
        </is>
      </c>
      <c r="G236" t="inlineStr">
        <is>
          <t>ANEBY</t>
        </is>
      </c>
      <c r="I236" t="n">
        <v>8.9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45552</v>
      </c>
      <c r="E237" s="1" t="n">
        <v>46233</v>
      </c>
      <c r="F237" t="inlineStr">
        <is>
          <t>JÖNKÖPINGS LÄN</t>
        </is>
      </c>
      <c r="G237" t="inlineStr">
        <is>
          <t>ANEBY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45593</v>
      </c>
      <c r="E238" s="1" t="n">
        <v>46233</v>
      </c>
      <c r="F238" t="inlineStr">
        <is>
          <t>JÖNKÖPINGS LÄN</t>
        </is>
      </c>
      <c r="G238" t="inlineStr">
        <is>
          <t>ANEBY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51160-2021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44461</v>
      </c>
      <c r="E239" s="1" t="n">
        <v>46233</v>
      </c>
      <c r="F239" t="inlineStr">
        <is>
          <t>JÖNKÖPINGS LÄN</t>
        </is>
      </c>
      <c r="G239" t="inlineStr">
        <is>
          <t>ANEBY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45126</v>
      </c>
      <c r="E240" s="1" t="n">
        <v>46233</v>
      </c>
      <c r="F240" t="inlineStr">
        <is>
          <t>JÖNKÖPINGS LÄN</t>
        </is>
      </c>
      <c r="G240" t="inlineStr">
        <is>
          <t>ANEBY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50069-2024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45600</v>
      </c>
      <c r="E241" s="1" t="n">
        <v>46233</v>
      </c>
      <c r="F241" t="inlineStr">
        <is>
          <t>JÖNKÖPINGS LÄN</t>
        </is>
      </c>
      <c r="G241" t="inlineStr">
        <is>
          <t>ANEBY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46233</v>
      </c>
      <c r="F242" t="inlineStr">
        <is>
          <t>JÖNKÖPINGS LÄN</t>
        </is>
      </c>
      <c r="G242" t="inlineStr">
        <is>
          <t>ANEBY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46233</v>
      </c>
      <c r="F243" t="inlineStr">
        <is>
          <t>JÖNKÖPINGS LÄN</t>
        </is>
      </c>
      <c r="G243" t="inlineStr">
        <is>
          <t>ANEBY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45616</v>
      </c>
      <c r="E244" s="1" t="n">
        <v>46233</v>
      </c>
      <c r="F244" t="inlineStr">
        <is>
          <t>JÖNKÖPINGS LÄN</t>
        </is>
      </c>
      <c r="G244" t="inlineStr">
        <is>
          <t>ANEBY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46233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46233</v>
      </c>
      <c r="F246" t="inlineStr">
        <is>
          <t>JÖNKÖPINGS LÄN</t>
        </is>
      </c>
      <c r="G246" t="inlineStr">
        <is>
          <t>ANEBY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46233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46233</v>
      </c>
      <c r="F248" t="inlineStr">
        <is>
          <t>JÖNKÖPINGS LÄN</t>
        </is>
      </c>
      <c r="G248" t="inlineStr">
        <is>
          <t>ANEBY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45124</v>
      </c>
      <c r="E249" s="1" t="n">
        <v>46233</v>
      </c>
      <c r="F249" t="inlineStr">
        <is>
          <t>JÖNKÖPINGS LÄN</t>
        </is>
      </c>
      <c r="G249" t="inlineStr">
        <is>
          <t>ANEBY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46233</v>
      </c>
      <c r="F250" t="inlineStr">
        <is>
          <t>JÖNKÖPINGS LÄN</t>
        </is>
      </c>
      <c r="G250" t="inlineStr">
        <is>
          <t>ANEBY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12714-2023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46233</v>
      </c>
      <c r="F251" t="inlineStr">
        <is>
          <t>JÖNKÖPINGS LÄN</t>
        </is>
      </c>
      <c r="G251" t="inlineStr">
        <is>
          <t>ANEBY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45357</v>
      </c>
      <c r="E252" s="1" t="n">
        <v>46233</v>
      </c>
      <c r="F252" t="inlineStr">
        <is>
          <t>JÖNKÖPINGS LÄN</t>
        </is>
      </c>
      <c r="G252" t="inlineStr">
        <is>
          <t>ANEBY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46233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46233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45616</v>
      </c>
      <c r="E255" s="1" t="n">
        <v>46233</v>
      </c>
      <c r="F255" t="inlineStr">
        <is>
          <t>JÖNKÖPINGS LÄN</t>
        </is>
      </c>
      <c r="G255" t="inlineStr">
        <is>
          <t>ANEBY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45316</v>
      </c>
      <c r="E256" s="1" t="n">
        <v>46233</v>
      </c>
      <c r="F256" t="inlineStr">
        <is>
          <t>JÖNKÖPINGS LÄN</t>
        </is>
      </c>
      <c r="G256" t="inlineStr">
        <is>
          <t>ANEBY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45610</v>
      </c>
      <c r="E257" s="1" t="n">
        <v>46233</v>
      </c>
      <c r="F257" t="inlineStr">
        <is>
          <t>JÖNKÖPINGS LÄN</t>
        </is>
      </c>
      <c r="G257" t="inlineStr">
        <is>
          <t>ANEBY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10155-2024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45364</v>
      </c>
      <c r="E258" s="1" t="n">
        <v>46233</v>
      </c>
      <c r="F258" t="inlineStr">
        <is>
          <t>JÖNKÖPINGS LÄN</t>
        </is>
      </c>
      <c r="G258" t="inlineStr">
        <is>
          <t>ANEBY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45372</v>
      </c>
      <c r="E259" s="1" t="n">
        <v>46233</v>
      </c>
      <c r="F259" t="inlineStr">
        <is>
          <t>JÖNKÖPINGS LÄN</t>
        </is>
      </c>
      <c r="G259" t="inlineStr">
        <is>
          <t>ANEBY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45009</v>
      </c>
      <c r="E260" s="1" t="n">
        <v>46233</v>
      </c>
      <c r="F260" t="inlineStr">
        <is>
          <t>JÖNKÖPINGS LÄN</t>
        </is>
      </c>
      <c r="G260" t="inlineStr">
        <is>
          <t>ANEBY</t>
        </is>
      </c>
      <c r="I260" t="n">
        <v>13.8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46233</v>
      </c>
      <c r="F261" t="inlineStr">
        <is>
          <t>JÖNKÖPINGS LÄN</t>
        </is>
      </c>
      <c r="G261" t="inlineStr">
        <is>
          <t>ANEBY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45665</v>
      </c>
      <c r="E262" s="1" t="n">
        <v>46233</v>
      </c>
      <c r="F262" t="inlineStr">
        <is>
          <t>JÖNKÖPINGS LÄN</t>
        </is>
      </c>
      <c r="G262" t="inlineStr">
        <is>
          <t>ANEBY</t>
        </is>
      </c>
      <c r="H262" t="inlineStr">
        <is>
          <t>Sveaskog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44705</v>
      </c>
      <c r="E263" s="1" t="n">
        <v>46233</v>
      </c>
      <c r="F263" t="inlineStr">
        <is>
          <t>JÖNKÖPINGS LÄN</t>
        </is>
      </c>
      <c r="G263" t="inlineStr">
        <is>
          <t>ANEBY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45146</v>
      </c>
      <c r="E264" s="1" t="n">
        <v>46233</v>
      </c>
      <c r="F264" t="inlineStr">
        <is>
          <t>JÖNKÖPINGS LÄN</t>
        </is>
      </c>
      <c r="G264" t="inlineStr">
        <is>
          <t>ANEBY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44678</v>
      </c>
      <c r="E265" s="1" t="n">
        <v>46233</v>
      </c>
      <c r="F265" t="inlineStr">
        <is>
          <t>JÖNKÖPINGS LÄN</t>
        </is>
      </c>
      <c r="G265" t="inlineStr">
        <is>
          <t>ANEBY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21356-2026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46147</v>
      </c>
      <c r="E266" s="1" t="n">
        <v>46233</v>
      </c>
      <c r="F266" t="inlineStr">
        <is>
          <t>JÖNKÖPINGS LÄN</t>
        </is>
      </c>
      <c r="G266" t="inlineStr">
        <is>
          <t>ANEBY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44623</v>
      </c>
      <c r="E267" s="1" t="n">
        <v>46233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46233</v>
      </c>
      <c r="F268" t="inlineStr">
        <is>
          <t>JÖNKÖPINGS LÄN</t>
        </is>
      </c>
      <c r="G268" t="inlineStr">
        <is>
          <t>ANEBY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45707</v>
      </c>
      <c r="E269" s="1" t="n">
        <v>46233</v>
      </c>
      <c r="F269" t="inlineStr">
        <is>
          <t>JÖNKÖPINGS LÄN</t>
        </is>
      </c>
      <c r="G269" t="inlineStr">
        <is>
          <t>ANEBY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20767-2022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44700</v>
      </c>
      <c r="E270" s="1" t="n">
        <v>46233</v>
      </c>
      <c r="F270" t="inlineStr">
        <is>
          <t>JÖNKÖPINGS LÄN</t>
        </is>
      </c>
      <c r="G270" t="inlineStr">
        <is>
          <t>ANEBY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16506-2022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44671</v>
      </c>
      <c r="E271" s="1" t="n">
        <v>46233</v>
      </c>
      <c r="F271" t="inlineStr">
        <is>
          <t>JÖNKÖPINGS LÄN</t>
        </is>
      </c>
      <c r="G271" t="inlineStr">
        <is>
          <t>ANEBY</t>
        </is>
      </c>
      <c r="H271" t="inlineStr">
        <is>
          <t>Kyrkan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46195</v>
      </c>
      <c r="E272" s="1" t="n">
        <v>46233</v>
      </c>
      <c r="F272" t="inlineStr">
        <is>
          <t>JÖNKÖPINGS LÄN</t>
        </is>
      </c>
      <c r="G272" t="inlineStr">
        <is>
          <t>ANEBY</t>
        </is>
      </c>
      <c r="H272" t="inlineStr">
        <is>
          <t>Kyrkan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46233</v>
      </c>
      <c r="F273" t="inlineStr">
        <is>
          <t>JÖNKÖPINGS LÄN</t>
        </is>
      </c>
      <c r="G273" t="inlineStr">
        <is>
          <t>ANEBY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46233</v>
      </c>
      <c r="F274" t="inlineStr">
        <is>
          <t>JÖNKÖPINGS LÄN</t>
        </is>
      </c>
      <c r="G274" t="inlineStr">
        <is>
          <t>ANEBY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27994-2026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46233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46233</v>
      </c>
      <c r="F276" t="inlineStr">
        <is>
          <t>JÖNKÖPINGS LÄN</t>
        </is>
      </c>
      <c r="G276" t="inlineStr">
        <is>
          <t>ANEBY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28232-2026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46196</v>
      </c>
      <c r="E277" s="1" t="n">
        <v>46233</v>
      </c>
      <c r="F277" t="inlineStr">
        <is>
          <t>JÖNKÖPINGS LÄN</t>
        </is>
      </c>
      <c r="G277" t="inlineStr">
        <is>
          <t>ANEBY</t>
        </is>
      </c>
      <c r="H277" t="inlineStr">
        <is>
          <t>Kyrkan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45762</v>
      </c>
      <c r="E278" s="1" t="n">
        <v>46233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20569-2025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45775</v>
      </c>
      <c r="E279" s="1" t="n">
        <v>46233</v>
      </c>
      <c r="F279" t="inlineStr">
        <is>
          <t>JÖNKÖPINGS LÄN</t>
        </is>
      </c>
      <c r="G279" t="inlineStr">
        <is>
          <t>ANEBY</t>
        </is>
      </c>
      <c r="H279" t="inlineStr">
        <is>
          <t>Kyrkan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701-2024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45300</v>
      </c>
      <c r="E280" s="1" t="n">
        <v>46233</v>
      </c>
      <c r="F280" t="inlineStr">
        <is>
          <t>JÖNKÖPINGS LÄN</t>
        </is>
      </c>
      <c r="G280" t="inlineStr">
        <is>
          <t>ANEBY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19362-2025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45769</v>
      </c>
      <c r="E281" s="1" t="n">
        <v>46233</v>
      </c>
      <c r="F281" t="inlineStr">
        <is>
          <t>JÖNKÖPINGS LÄN</t>
        </is>
      </c>
      <c r="G281" t="inlineStr">
        <is>
          <t>ANEBY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45304</v>
      </c>
      <c r="E282" s="1" t="n">
        <v>46233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46233</v>
      </c>
      <c r="F283" t="inlineStr">
        <is>
          <t>JÖNKÖPINGS LÄN</t>
        </is>
      </c>
      <c r="G283" t="inlineStr">
        <is>
          <t>ANEBY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45198</v>
      </c>
      <c r="E284" s="1" t="n">
        <v>46233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46233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45763</v>
      </c>
      <c r="E286" s="1" t="n">
        <v>46233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44847</v>
      </c>
      <c r="E287" s="1" t="n">
        <v>46233</v>
      </c>
      <c r="F287" t="inlineStr">
        <is>
          <t>JÖNKÖPINGS LÄN</t>
        </is>
      </c>
      <c r="G287" t="inlineStr">
        <is>
          <t>ANEBY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57170-2021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44482</v>
      </c>
      <c r="E288" s="1" t="n">
        <v>46233</v>
      </c>
      <c r="F288" t="inlineStr">
        <is>
          <t>JÖNKÖPINGS LÄN</t>
        </is>
      </c>
      <c r="G288" t="inlineStr">
        <is>
          <t>ANEBY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45393</v>
      </c>
      <c r="E289" s="1" t="n">
        <v>46233</v>
      </c>
      <c r="F289" t="inlineStr">
        <is>
          <t>JÖNKÖPINGS LÄN</t>
        </is>
      </c>
      <c r="G289" t="inlineStr">
        <is>
          <t>ANEBY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46233</v>
      </c>
      <c r="F290" t="inlineStr">
        <is>
          <t>JÖNKÖPINGS LÄN</t>
        </is>
      </c>
      <c r="G290" t="inlineStr">
        <is>
          <t>ANEBY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46233</v>
      </c>
      <c r="F291" t="inlineStr">
        <is>
          <t>JÖNKÖPINGS LÄN</t>
        </is>
      </c>
      <c r="G291" t="inlineStr">
        <is>
          <t>ANEBY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44671-2024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46233</v>
      </c>
      <c r="F292" t="inlineStr">
        <is>
          <t>JÖNKÖPINGS LÄN</t>
        </is>
      </c>
      <c r="G292" t="inlineStr">
        <is>
          <t>ANEBY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67414-2021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44524</v>
      </c>
      <c r="E293" s="1" t="n">
        <v>46233</v>
      </c>
      <c r="F293" t="inlineStr">
        <is>
          <t>JÖNKÖPINGS LÄN</t>
        </is>
      </c>
      <c r="G293" t="inlineStr">
        <is>
          <t>ANEBY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44565</v>
      </c>
      <c r="E294" s="1" t="n">
        <v>46233</v>
      </c>
      <c r="F294" t="inlineStr">
        <is>
          <t>JÖNKÖPINGS LÄN</t>
        </is>
      </c>
      <c r="G294" t="inlineStr">
        <is>
          <t>ANEBY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44985</v>
      </c>
      <c r="E295" s="1" t="n">
        <v>46233</v>
      </c>
      <c r="F295" t="inlineStr">
        <is>
          <t>JÖNKÖPINGS LÄN</t>
        </is>
      </c>
      <c r="G295" t="inlineStr">
        <is>
          <t>ANEBY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46167</v>
      </c>
      <c r="E296" s="1" t="n">
        <v>46233</v>
      </c>
      <c r="F296" t="inlineStr">
        <is>
          <t>JÖNKÖPINGS LÄN</t>
        </is>
      </c>
      <c r="G296" t="inlineStr">
        <is>
          <t>ANEBY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46233</v>
      </c>
      <c r="F297" t="inlineStr">
        <is>
          <t>JÖNKÖPINGS LÄN</t>
        </is>
      </c>
      <c r="G297" t="inlineStr">
        <is>
          <t>ANEBY</t>
        </is>
      </c>
      <c r="H297" t="inlineStr">
        <is>
          <t>Sveaskog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44952</v>
      </c>
      <c r="E298" s="1" t="n">
        <v>46233</v>
      </c>
      <c r="F298" t="inlineStr">
        <is>
          <t>JÖNKÖPINGS LÄN</t>
        </is>
      </c>
      <c r="G298" t="inlineStr">
        <is>
          <t>ANEBY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4836-2023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44957</v>
      </c>
      <c r="E299" s="1" t="n">
        <v>46233</v>
      </c>
      <c r="F299" t="inlineStr">
        <is>
          <t>JÖNKÖPINGS LÄN</t>
        </is>
      </c>
      <c r="G299" t="inlineStr">
        <is>
          <t>ANEBY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35773-2023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45148</v>
      </c>
      <c r="E300" s="1" t="n">
        <v>46233</v>
      </c>
      <c r="F300" t="inlineStr">
        <is>
          <t>JÖNKÖPINGS LÄN</t>
        </is>
      </c>
      <c r="G300" t="inlineStr">
        <is>
          <t>ANEBY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55688-2022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44888</v>
      </c>
      <c r="E301" s="1" t="n">
        <v>46233</v>
      </c>
      <c r="F301" t="inlineStr">
        <is>
          <t>JÖNKÖPINGS LÄN</t>
        </is>
      </c>
      <c r="G301" t="inlineStr">
        <is>
          <t>ANEBY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46233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46233</v>
      </c>
      <c r="F303" t="inlineStr">
        <is>
          <t>JÖNKÖPINGS LÄN</t>
        </is>
      </c>
      <c r="G303" t="inlineStr">
        <is>
          <t>ANEBY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46214</v>
      </c>
      <c r="E304" s="1" t="n">
        <v>46233</v>
      </c>
      <c r="F304" t="inlineStr">
        <is>
          <t>JÖNKÖPINGS LÄN</t>
        </is>
      </c>
      <c r="G304" t="inlineStr">
        <is>
          <t>ANEBY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46214</v>
      </c>
      <c r="E305" s="1" t="n">
        <v>46233</v>
      </c>
      <c r="F305" t="inlineStr">
        <is>
          <t>JÖNKÖPINGS LÄN</t>
        </is>
      </c>
      <c r="G305" t="inlineStr">
        <is>
          <t>ANEBY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46214</v>
      </c>
      <c r="E306" s="1" t="n">
        <v>46233</v>
      </c>
      <c r="F306" t="inlineStr">
        <is>
          <t>JÖNKÖPINGS LÄN</t>
        </is>
      </c>
      <c r="G306" t="inlineStr">
        <is>
          <t>ANEBY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46171</v>
      </c>
      <c r="E307" s="1" t="n">
        <v>46233</v>
      </c>
      <c r="F307" t="inlineStr">
        <is>
          <t>JÖNKÖPINGS LÄN</t>
        </is>
      </c>
      <c r="G307" t="inlineStr">
        <is>
          <t>ANEBY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45365</v>
      </c>
      <c r="E308" s="1" t="n">
        <v>46233</v>
      </c>
      <c r="F308" t="inlineStr">
        <is>
          <t>JÖNKÖPINGS LÄN</t>
        </is>
      </c>
      <c r="G308" t="inlineStr">
        <is>
          <t>ANEBY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40017-2024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45553</v>
      </c>
      <c r="E309" s="1" t="n">
        <v>46233</v>
      </c>
      <c r="F309" t="inlineStr">
        <is>
          <t>JÖNKÖPINGS LÄN</t>
        </is>
      </c>
      <c r="G309" t="inlineStr">
        <is>
          <t>ANEBY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703-2024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45300</v>
      </c>
      <c r="E310" s="1" t="n">
        <v>46233</v>
      </c>
      <c r="F310" t="inlineStr">
        <is>
          <t>JÖNKÖPINGS LÄN</t>
        </is>
      </c>
      <c r="G310" t="inlineStr">
        <is>
          <t>ANEBY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25897-2026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46176</v>
      </c>
      <c r="E311" s="1" t="n">
        <v>46233</v>
      </c>
      <c r="F311" t="inlineStr">
        <is>
          <t>JÖNKÖPINGS LÄN</t>
        </is>
      </c>
      <c r="G311" t="inlineStr">
        <is>
          <t>ANEBY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43485-2023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46233</v>
      </c>
      <c r="F312" t="inlineStr">
        <is>
          <t>JÖNKÖPINGS LÄN</t>
        </is>
      </c>
      <c r="G312" t="inlineStr">
        <is>
          <t>ANEBY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46176</v>
      </c>
      <c r="E313" s="1" t="n">
        <v>46233</v>
      </c>
      <c r="F313" t="inlineStr">
        <is>
          <t>JÖNKÖPINGS LÄN</t>
        </is>
      </c>
      <c r="G313" t="inlineStr">
        <is>
          <t>ANEBY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46233</v>
      </c>
      <c r="F314" t="inlineStr">
        <is>
          <t>JÖNKÖPINGS LÄN</t>
        </is>
      </c>
      <c r="G314" t="inlineStr">
        <is>
          <t>ANEBY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9917-2022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44620</v>
      </c>
      <c r="E315" s="1" t="n">
        <v>46233</v>
      </c>
      <c r="F315" t="inlineStr">
        <is>
          <t>JÖNKÖPINGS LÄN</t>
        </is>
      </c>
      <c r="G315" t="inlineStr">
        <is>
          <t>ANEBY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46233</v>
      </c>
      <c r="F316" t="inlineStr">
        <is>
          <t>JÖNKÖPINGS LÄN</t>
        </is>
      </c>
      <c r="G316" t="inlineStr">
        <is>
          <t>ANEBY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10456-2023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44981</v>
      </c>
      <c r="E317" s="1" t="n">
        <v>46233</v>
      </c>
      <c r="F317" t="inlineStr">
        <is>
          <t>JÖNKÖPINGS LÄN</t>
        </is>
      </c>
      <c r="G317" t="inlineStr">
        <is>
          <t>ANEBY</t>
        </is>
      </c>
      <c r="H317" t="inlineStr">
        <is>
          <t>Övriga Aktiebolag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45665</v>
      </c>
      <c r="E318" s="1" t="n">
        <v>46233</v>
      </c>
      <c r="F318" t="inlineStr">
        <is>
          <t>JÖNKÖPINGS LÄN</t>
        </is>
      </c>
      <c r="G318" t="inlineStr">
        <is>
          <t>ANEBY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46224</v>
      </c>
      <c r="E319" s="1" t="n">
        <v>46233</v>
      </c>
      <c r="F319" t="inlineStr">
        <is>
          <t>JÖNKÖPINGS LÄN</t>
        </is>
      </c>
      <c r="G319" t="inlineStr">
        <is>
          <t>ANEBY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46233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46233</v>
      </c>
      <c r="F321" t="inlineStr">
        <is>
          <t>JÖNKÖPINGS LÄN</t>
        </is>
      </c>
      <c r="G321" t="inlineStr">
        <is>
          <t>ANEBY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46233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46233</v>
      </c>
      <c r="F323" t="inlineStr">
        <is>
          <t>JÖNKÖPINGS LÄN</t>
        </is>
      </c>
      <c r="G323" t="inlineStr">
        <is>
          <t>ANEBY</t>
        </is>
      </c>
      <c r="H323" t="inlineStr">
        <is>
          <t>Övriga Aktiebolag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46233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45146</v>
      </c>
      <c r="E325" s="1" t="n">
        <v>46233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46233</v>
      </c>
      <c r="F326" t="inlineStr">
        <is>
          <t>JÖNKÖPINGS LÄN</t>
        </is>
      </c>
      <c r="G326" t="inlineStr">
        <is>
          <t>ANEBY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46184</v>
      </c>
      <c r="E327" s="1" t="n">
        <v>46233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45378</v>
      </c>
      <c r="E328" s="1" t="n">
        <v>46233</v>
      </c>
      <c r="F328" t="inlineStr">
        <is>
          <t>JÖNKÖPINGS LÄN</t>
        </is>
      </c>
      <c r="G328" t="inlineStr">
        <is>
          <t>ANEBY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46233</v>
      </c>
      <c r="F329" t="inlineStr">
        <is>
          <t>JÖNKÖPINGS LÄN</t>
        </is>
      </c>
      <c r="G329" t="inlineStr">
        <is>
          <t>ANEBY</t>
        </is>
      </c>
      <c r="I329" t="n">
        <v>17.9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46233</v>
      </c>
      <c r="F330" t="inlineStr">
        <is>
          <t>JÖNKÖPINGS LÄN</t>
        </is>
      </c>
      <c r="G330" t="inlineStr">
        <is>
          <t>ANEBY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46233</v>
      </c>
      <c r="F331" t="inlineStr">
        <is>
          <t>JÖNKÖPINGS LÄN</t>
        </is>
      </c>
      <c r="G331" t="inlineStr">
        <is>
          <t>ANEBY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46233</v>
      </c>
      <c r="F332" t="inlineStr">
        <is>
          <t>JÖNKÖPINGS LÄN</t>
        </is>
      </c>
      <c r="G332" t="inlineStr">
        <is>
          <t>ANEBY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45097</v>
      </c>
      <c r="E333" s="1" t="n">
        <v>46233</v>
      </c>
      <c r="F333" t="inlineStr">
        <is>
          <t>JÖNKÖPINGS LÄN</t>
        </is>
      </c>
      <c r="G333" t="inlineStr">
        <is>
          <t>ANEBY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46233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46233</v>
      </c>
      <c r="F335" t="inlineStr">
        <is>
          <t>JÖNKÖPINGS LÄN</t>
        </is>
      </c>
      <c r="G335" t="inlineStr">
        <is>
          <t>ANEBY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46233</v>
      </c>
      <c r="F336" t="inlineStr">
        <is>
          <t>JÖNKÖPINGS LÄN</t>
        </is>
      </c>
      <c r="G336" t="inlineStr">
        <is>
          <t>ANEBY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45537</v>
      </c>
      <c r="E337" s="1" t="n">
        <v>46233</v>
      </c>
      <c r="F337" t="inlineStr">
        <is>
          <t>JÖNKÖPINGS LÄN</t>
        </is>
      </c>
      <c r="G337" t="inlineStr">
        <is>
          <t>ANEBY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45357</v>
      </c>
      <c r="E338" s="1" t="n">
        <v>46233</v>
      </c>
      <c r="F338" t="inlineStr">
        <is>
          <t>JÖNKÖPINGS LÄN</t>
        </is>
      </c>
      <c r="G338" t="inlineStr">
        <is>
          <t>ANEBY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46233</v>
      </c>
      <c r="F339" t="inlineStr">
        <is>
          <t>JÖNKÖPINGS LÄN</t>
        </is>
      </c>
      <c r="G339" t="inlineStr">
        <is>
          <t>ANEBY</t>
        </is>
      </c>
      <c r="H339" t="inlineStr">
        <is>
          <t>Kyrkan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46233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46233</v>
      </c>
      <c r="F341" t="inlineStr">
        <is>
          <t>JÖNKÖPINGS LÄN</t>
        </is>
      </c>
      <c r="G341" t="inlineStr">
        <is>
          <t>ANEBY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46233</v>
      </c>
      <c r="F342" t="inlineStr">
        <is>
          <t>JÖNKÖPINGS LÄN</t>
        </is>
      </c>
      <c r="G342" t="inlineStr">
        <is>
          <t>ANEBY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47118-2023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45201</v>
      </c>
      <c r="E343" s="1" t="n">
        <v>46233</v>
      </c>
      <c r="F343" t="inlineStr">
        <is>
          <t>JÖNKÖPINGS LÄN</t>
        </is>
      </c>
      <c r="G343" t="inlineStr">
        <is>
          <t>ANEBY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45398</v>
      </c>
      <c r="E344" s="1" t="n">
        <v>46233</v>
      </c>
      <c r="F344" t="inlineStr">
        <is>
          <t>JÖNKÖPINGS LÄN</t>
        </is>
      </c>
      <c r="G344" t="inlineStr">
        <is>
          <t>ANEBY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23966-2025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45796</v>
      </c>
      <c r="E345" s="1" t="n">
        <v>46233</v>
      </c>
      <c r="F345" t="inlineStr">
        <is>
          <t>JÖNKÖPINGS LÄN</t>
        </is>
      </c>
      <c r="G345" t="inlineStr">
        <is>
          <t>ANEBY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805-2022</t>
        </is>
      </c>
      <c r="B346" t="inlineStr">
        <is>
          <t>samrådsanmälan</t>
        </is>
      </c>
      <c r="C346" t="inlineStr">
        <is>
          <t>Skogsbilväg</t>
        </is>
      </c>
      <c r="D346" s="1" t="n">
        <v>44603</v>
      </c>
      <c r="E346" s="1" t="n">
        <v>46233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46233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46233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46233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46233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46233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46233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46233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46233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46233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46233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46233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46233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46233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2026-07-30T01:52:34Z</dcterms:created>
  <dcterms:modified xmlns:dcterms="http://purl.org/dc/terms/" xmlns:xsi="http://www.w3.org/2001/XMLSchema-instance" xsi:type="dcterms:W3CDTF">2026-07-30T01:52:34Z</dcterms:modified>
</cp:coreProperties>
</file>