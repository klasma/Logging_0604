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46236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46236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46236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46236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46236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44565</v>
      </c>
      <c r="E7" s="1" t="n">
        <v>46236</v>
      </c>
      <c r="F7" t="inlineStr">
        <is>
          <t>JÖNKÖPINGS LÄN</t>
        </is>
      </c>
      <c r="G7" t="inlineStr">
        <is>
          <t>ANEBY</t>
        </is>
      </c>
      <c r="I7" t="n">
        <v>7.3</v>
      </c>
      <c r="J7" t="n">
        <v>2</v>
      </c>
      <c r="K7" t="n">
        <v>1</v>
      </c>
      <c r="L7" t="n">
        <v>3</v>
      </c>
      <c r="M7" t="n">
        <v>2</v>
      </c>
      <c r="N7" t="n">
        <v>1</v>
      </c>
      <c r="O7" t="n">
        <v>0</v>
      </c>
      <c r="P7" t="n">
        <v>0</v>
      </c>
      <c r="Q7" t="n">
        <v>6</v>
      </c>
      <c r="R7" t="n">
        <v>3</v>
      </c>
      <c r="S7" t="n">
        <v>7</v>
      </c>
      <c r="T7" t="n">
        <v>7</v>
      </c>
      <c r="U7" t="n">
        <v>2</v>
      </c>
      <c r="V7" s="2" t="inlineStr">
        <is>
          <t>Pärluggla
Knärot
Silverblåvinge
Grå blåbärsfältmätare
Skogshare
Vitfläckig guldvinge
Grönpyrola</t>
        </is>
      </c>
      <c r="W7">
        <f>HYPERLINK("https://klasma.github.io/Logging_0604/artfynd/A 410-2022 artfynd.xlsx", "A 410-2022")</f>
        <v/>
      </c>
      <c r="X7">
        <f>HYPERLINK("https://klasma.github.io/Logging_0604/kartor/A 410-2022 karta.png", "A 410-2022")</f>
        <v/>
      </c>
      <c r="Y7">
        <f>HYPERLINK("https://klasma.github.io/Logging_0604/kartor_geotiff/A 410-2022 georefererad karta.tif", "A 410-2022")</f>
        <v/>
      </c>
      <c r="Z7">
        <f>HYPERLINK("https://klasma.github.io/Logging_0604/knärot/A 410-2022 karta knärot.png", "A 410-2022")</f>
        <v/>
      </c>
      <c r="AA7">
        <f>HYPERLINK("https://klasma.github.io/Logging_0604/klagomål/A 410-2022 FSC-klagomål.docx", "A 410-2022")</f>
        <v/>
      </c>
      <c r="AB7">
        <f>HYPERLINK("https://klasma.github.io/Logging_0604/klagomålsmail/A 410-2022 FSC-klagomål mail.docx", "A 410-2022")</f>
        <v/>
      </c>
      <c r="AC7">
        <f>HYPERLINK("https://klasma.github.io/Logging_0604/tillsyn/A 410-2022 tillsynsbegäran.docx", "A 410-2022")</f>
        <v/>
      </c>
      <c r="AD7">
        <f>HYPERLINK("https://klasma.github.io/Logging_0604/tillsynsmail/A 410-2022 tillsynsbegäran mail.docx", "A 410-2022")</f>
        <v/>
      </c>
      <c r="AE7">
        <f>HYPERLINK("https://klasma.github.io/Logging_0604/fåglar/A 410-2022 prioriterade fågelarter.docx", "A 410-2022")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46236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46236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46236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46236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46236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46236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60716-2025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45996</v>
      </c>
      <c r="E14" s="1" t="n">
        <v>46236</v>
      </c>
      <c r="F14" t="inlineStr">
        <is>
          <t>JÖNKÖPINGS LÄN</t>
        </is>
      </c>
      <c r="G14" t="inlineStr">
        <is>
          <t>ANEBY</t>
        </is>
      </c>
      <c r="I14" t="n">
        <v>4.8</v>
      </c>
      <c r="J14" t="n">
        <v>1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9</v>
      </c>
      <c r="U14" t="n">
        <v>9</v>
      </c>
      <c r="V14" s="2" t="inlineStr">
        <is>
          <t>Knärot
Brandticka
Bronshjon
Vågbandad barkbock</t>
        </is>
      </c>
      <c r="W14">
        <f>HYPERLINK("https://klasma.github.io/Logging_0604/artfynd/A 60716-2025 artfynd.xlsx", "A 60716-2025")</f>
        <v/>
      </c>
      <c r="X14">
        <f>HYPERLINK("https://klasma.github.io/Logging_0604/kartor/A 60716-2025 karta.png", "A 60716-2025")</f>
        <v/>
      </c>
      <c r="Y14">
        <f>HYPERLINK("https://klasma.github.io/Logging_0604/kartor_geotiff/A 60716-2025 georefererad karta.tif", "A 60716-2025")</f>
        <v/>
      </c>
      <c r="Z14">
        <f>HYPERLINK("https://klasma.github.io/Logging_0604/knärot/A 60716-2025 karta knärot.png", "A 60716-2025")</f>
        <v/>
      </c>
      <c r="AA14">
        <f>HYPERLINK("https://klasma.github.io/Logging_0604/klagomål/A 60716-2025 FSC-klagomål.docx", "A 60716-2025")</f>
        <v/>
      </c>
      <c r="AB14">
        <f>HYPERLINK("https://klasma.github.io/Logging_0604/klagomålsmail/A 60716-2025 FSC-klagomål mail.docx", "A 60716-2025")</f>
        <v/>
      </c>
      <c r="AC14">
        <f>HYPERLINK("https://klasma.github.io/Logging_0604/tillsyn/A 60716-2025 tillsynsbegäran.docx", "A 60716-2025")</f>
        <v/>
      </c>
      <c r="AD14">
        <f>HYPERLINK("https://klasma.github.io/Logging_0604/tillsynsmail/A 60716-2025 tillsynsbegäran mail.docx", "A 60716-2025")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46236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46236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46236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46236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46236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46236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46236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46236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46236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49437-2023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46236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Gullpudra
Kungsfågel</t>
        </is>
      </c>
      <c r="W24">
        <f>HYPERLINK("https://klasma.github.io/Logging_0604/artfynd/A 49437-2023 artfynd.xlsx", "A 49437-2023")</f>
        <v/>
      </c>
      <c r="X24">
        <f>HYPERLINK("https://klasma.github.io/Logging_0604/kartor/A 49437-2023 karta.png", "A 49437-2023")</f>
        <v/>
      </c>
      <c r="Y24">
        <f>HYPERLINK("https://klasma.github.io/Logging_0604/kartor_geotiff/A 49437-2023 georefererad karta.tif", "A 49437-2023")</f>
        <v/>
      </c>
      <c r="AA24">
        <f>HYPERLINK("https://klasma.github.io/Logging_0604/klagomål/A 49437-2023 FSC-klagomål.docx", "A 49437-2023")</f>
        <v/>
      </c>
      <c r="AB24">
        <f>HYPERLINK("https://klasma.github.io/Logging_0604/klagomålsmail/A 49437-2023 FSC-klagomål mail.docx", "A 49437-2023")</f>
        <v/>
      </c>
      <c r="AC24">
        <f>HYPERLINK("https://klasma.github.io/Logging_0604/tillsyn/A 49437-2023 tillsynsbegäran.docx", "A 49437-2023")</f>
        <v/>
      </c>
      <c r="AD24">
        <f>HYPERLINK("https://klasma.github.io/Logging_0604/tillsynsmail/A 49437-2023 tillsynsbegäran mail.docx", "A 49437-2023")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46236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46236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38728-2024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46236</v>
      </c>
      <c r="F27" t="inlineStr">
        <is>
          <t>JÖNKÖPINGS LÄN</t>
        </is>
      </c>
      <c r="G27" t="inlineStr">
        <is>
          <t>ANEBY</t>
        </is>
      </c>
      <c r="I27" t="n">
        <v>5.5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HYPERLINK("https://klasma.github.io/Logging_0604/artfynd/A 38728-2024 artfynd.xlsx", "A 38728-2024")</f>
        <v/>
      </c>
      <c r="X27">
        <f>HYPERLINK("https://klasma.github.io/Logging_0604/kartor/A 38728-2024 karta.png", "A 38728-2024")</f>
        <v/>
      </c>
      <c r="Y27">
        <f>HYPERLINK("https://klasma.github.io/Logging_0604/kartor_geotiff/A 38728-2024 georefererad karta.tif", "A 38728-2024")</f>
        <v/>
      </c>
      <c r="AA27">
        <f>HYPERLINK("https://klasma.github.io/Logging_0604/klagomål/A 38728-2024 FSC-klagomål.docx", "A 38728-2024")</f>
        <v/>
      </c>
      <c r="AB27">
        <f>HYPERLINK("https://klasma.github.io/Logging_0604/klagomålsmail/A 38728-2024 FSC-klagomål mail.docx", "A 38728-2024")</f>
        <v/>
      </c>
      <c r="AC27">
        <f>HYPERLINK("https://klasma.github.io/Logging_0604/tillsyn/A 38728-2024 tillsynsbegäran.docx", "A 38728-2024")</f>
        <v/>
      </c>
      <c r="AD27">
        <f>HYPERLINK("https://klasma.github.io/Logging_0604/tillsynsmail/A 38728-2024 tillsynsbegäran mail.docx", "A 38728-2024")</f>
        <v/>
      </c>
      <c r="AE27">
        <f>HYPERLINK("https://klasma.github.io/Logging_0604/fåglar/A 38728-2024 prioriterade fågelarter.docx", "A 38728-2024")</f>
        <v/>
      </c>
    </row>
    <row r="28" ht="15" customHeight="1">
      <c r="A28" t="inlineStr">
        <is>
          <t>A 13163-2024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46236</v>
      </c>
      <c r="F28" t="inlineStr">
        <is>
          <t>JÖNKÖPINGS LÄN</t>
        </is>
      </c>
      <c r="G28" t="inlineStr">
        <is>
          <t>ANEBY</t>
        </is>
      </c>
      <c r="I28" t="n">
        <v>6.9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Lopplummer (aggregat)</t>
        </is>
      </c>
      <c r="W28">
        <f>HYPERLINK("https://klasma.github.io/Logging_0604/artfynd/A 13163-2024 artfynd.xlsx", "A 13163-2024")</f>
        <v/>
      </c>
      <c r="X28">
        <f>HYPERLINK("https://klasma.github.io/Logging_0604/kartor/A 13163-2024 karta.png", "A 13163-2024")</f>
        <v/>
      </c>
      <c r="Y28">
        <f>HYPERLINK("https://klasma.github.io/Logging_0604/kartor_geotiff/A 13163-2024 georefererad karta.tif", "A 13163-2024")</f>
        <v/>
      </c>
      <c r="AA28">
        <f>HYPERLINK("https://klasma.github.io/Logging_0604/klagomål/A 13163-2024 FSC-klagomål.docx", "A 13163-2024")</f>
        <v/>
      </c>
      <c r="AB28">
        <f>HYPERLINK("https://klasma.github.io/Logging_0604/klagomålsmail/A 13163-2024 FSC-klagomål mail.docx", "A 13163-2024")</f>
        <v/>
      </c>
      <c r="AC28">
        <f>HYPERLINK("https://klasma.github.io/Logging_0604/tillsyn/A 13163-2024 tillsynsbegäran.docx", "A 13163-2024")</f>
        <v/>
      </c>
      <c r="AD28">
        <f>HYPERLINK("https://klasma.github.io/Logging_0604/tillsynsmail/A 13163-2024 tillsynsbegäran mail.docx", "A 13163-2024")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46236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48560-2025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45936</v>
      </c>
      <c r="E30" s="1" t="n">
        <v>46236</v>
      </c>
      <c r="F30" t="inlineStr">
        <is>
          <t>JÖNKÖPINGS LÄN</t>
        </is>
      </c>
      <c r="G30" t="inlineStr">
        <is>
          <t>ANEBY</t>
        </is>
      </c>
      <c r="I30" t="n">
        <v>0.4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Dofttaggsvamp</t>
        </is>
      </c>
      <c r="W30">
        <f>HYPERLINK("https://klasma.github.io/Logging_0604/artfynd/A 48560-2025 artfynd.xlsx", "A 48560-2025")</f>
        <v/>
      </c>
      <c r="X30">
        <f>HYPERLINK("https://klasma.github.io/Logging_0604/kartor/A 48560-2025 karta.png", "A 48560-2025")</f>
        <v/>
      </c>
      <c r="Y30">
        <f>HYPERLINK("https://klasma.github.io/Logging_0604/kartor_geotiff/A 48560-2025 georefererad karta.tif", "A 48560-2025")</f>
        <v/>
      </c>
      <c r="AA30">
        <f>HYPERLINK("https://klasma.github.io/Logging_0604/klagomål/A 48560-2025 FSC-klagomål.docx", "A 48560-2025")</f>
        <v/>
      </c>
      <c r="AB30">
        <f>HYPERLINK("https://klasma.github.io/Logging_0604/klagomålsmail/A 48560-2025 FSC-klagomål mail.docx", "A 48560-2025")</f>
        <v/>
      </c>
      <c r="AC30">
        <f>HYPERLINK("https://klasma.github.io/Logging_0604/tillsyn/A 48560-2025 tillsynsbegäran.docx", "A 48560-2025")</f>
        <v/>
      </c>
      <c r="AD30">
        <f>HYPERLINK("https://klasma.github.io/Logging_0604/tillsynsmail/A 48560-2025 tillsynsbegäran mail.docx", "A 48560-2025")</f>
        <v/>
      </c>
    </row>
    <row r="31" ht="15" customHeight="1">
      <c r="A31" t="inlineStr">
        <is>
          <t>A 51453-2021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46236</v>
      </c>
      <c r="F31" t="inlineStr">
        <is>
          <t>JÖNKÖPINGS LÄN</t>
        </is>
      </c>
      <c r="G31" t="inlineStr">
        <is>
          <t>ANEBY</t>
        </is>
      </c>
      <c r="H31" t="inlineStr">
        <is>
          <t>Övriga Aktiebolag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Vedtrappmossa</t>
        </is>
      </c>
      <c r="W31">
        <f>HYPERLINK("https://klasma.github.io/Logging_0604/artfynd/A 51453-2021 artfynd.xlsx", "A 51453-2021")</f>
        <v/>
      </c>
      <c r="X31">
        <f>HYPERLINK("https://klasma.github.io/Logging_0604/kartor/A 51453-2021 karta.png", "A 51453-2021")</f>
        <v/>
      </c>
      <c r="Y31">
        <f>HYPERLINK("https://klasma.github.io/Logging_0604/kartor_geotiff/A 51453-2021 georefererad karta.tif", "A 51453-2021")</f>
        <v/>
      </c>
      <c r="AA31">
        <f>HYPERLINK("https://klasma.github.io/Logging_0604/klagomål/A 51453-2021 FSC-klagomål.docx", "A 51453-2021")</f>
        <v/>
      </c>
      <c r="AB31">
        <f>HYPERLINK("https://klasma.github.io/Logging_0604/klagomålsmail/A 51453-2021 FSC-klagomål mail.docx", "A 51453-2021")</f>
        <v/>
      </c>
      <c r="AC31">
        <f>HYPERLINK("https://klasma.github.io/Logging_0604/tillsyn/A 51453-2021 tillsynsbegäran.docx", "A 51453-2021")</f>
        <v/>
      </c>
      <c r="AD31">
        <f>HYPERLINK("https://klasma.github.io/Logging_0604/tillsynsmail/A 51453-2021 tillsynsbegäran mail.docx", "A 51453-2021")</f>
        <v/>
      </c>
    </row>
    <row r="32" ht="15" customHeight="1">
      <c r="A32" t="inlineStr">
        <is>
          <t>A 38338-2023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46236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HYPERLINK("https://klasma.github.io/Logging_0604/artfynd/A 38338-2023 artfynd.xlsx", "A 38338-2023")</f>
        <v/>
      </c>
      <c r="X32">
        <f>HYPERLINK("https://klasma.github.io/Logging_0604/kartor/A 38338-2023 karta.png", "A 38338-2023")</f>
        <v/>
      </c>
      <c r="Y32">
        <f>HYPERLINK("https://klasma.github.io/Logging_0604/kartor_geotiff/A 38338-2023 georefererad karta.tif", "A 38338-2023")</f>
        <v/>
      </c>
      <c r="AA32">
        <f>HYPERLINK("https://klasma.github.io/Logging_0604/klagomål/A 38338-2023 FSC-klagomål.docx", "A 38338-2023")</f>
        <v/>
      </c>
      <c r="AB32">
        <f>HYPERLINK("https://klasma.github.io/Logging_0604/klagomålsmail/A 38338-2023 FSC-klagomål mail.docx", "A 38338-2023")</f>
        <v/>
      </c>
      <c r="AC32">
        <f>HYPERLINK("https://klasma.github.io/Logging_0604/tillsyn/A 38338-2023 tillsynsbegäran.docx", "A 38338-2023")</f>
        <v/>
      </c>
      <c r="AD32">
        <f>HYPERLINK("https://klasma.github.io/Logging_0604/tillsynsmail/A 38338-2023 tillsynsbegäran mail.docx", "A 38338-2023")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46236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53251-2023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46236</v>
      </c>
      <c r="F34" t="inlineStr">
        <is>
          <t>JÖNKÖPINGS LÄN</t>
        </is>
      </c>
      <c r="G34" t="inlineStr">
        <is>
          <t>ANEBY</t>
        </is>
      </c>
      <c r="I34" t="n">
        <v>2.2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HYPERLINK("https://klasma.github.io/Logging_0604/artfynd/A 53251-2023 artfynd.xlsx", "A 53251-2023")</f>
        <v/>
      </c>
      <c r="X34">
        <f>HYPERLINK("https://klasma.github.io/Logging_0604/kartor/A 53251-2023 karta.png", "A 53251-2023")</f>
        <v/>
      </c>
      <c r="Y34">
        <f>HYPERLINK("https://klasma.github.io/Logging_0604/kartor_geotiff/A 53251-2023 georefererad karta.tif", "A 53251-2023")</f>
        <v/>
      </c>
      <c r="AA34">
        <f>HYPERLINK("https://klasma.github.io/Logging_0604/klagomål/A 53251-2023 FSC-klagomål.docx", "A 53251-2023")</f>
        <v/>
      </c>
      <c r="AB34">
        <f>HYPERLINK("https://klasma.github.io/Logging_0604/klagomålsmail/A 53251-2023 FSC-klagomål mail.docx", "A 53251-2023")</f>
        <v/>
      </c>
      <c r="AC34">
        <f>HYPERLINK("https://klasma.github.io/Logging_0604/tillsyn/A 53251-2023 tillsynsbegäran.docx", "A 53251-2023")</f>
        <v/>
      </c>
      <c r="AD34">
        <f>HYPERLINK("https://klasma.github.io/Logging_0604/tillsynsmail/A 53251-2023 tillsynsbegäran mail.docx", "A 53251-2023")</f>
        <v/>
      </c>
    </row>
    <row r="35" ht="15" customHeight="1">
      <c r="A35" t="inlineStr">
        <is>
          <t>A 10010-2023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44985</v>
      </c>
      <c r="E35" s="1" t="n">
        <v>46236</v>
      </c>
      <c r="F35" t="inlineStr">
        <is>
          <t>JÖNKÖPINGS LÄN</t>
        </is>
      </c>
      <c r="G35" t="inlineStr">
        <is>
          <t>ANEBY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HYPERLINK("https://klasma.github.io/Logging_0604/artfynd/A 10010-2023 artfynd.xlsx", "A 10010-2023")</f>
        <v/>
      </c>
      <c r="X35">
        <f>HYPERLINK("https://klasma.github.io/Logging_0604/kartor/A 10010-2023 karta.png", "A 10010-2023")</f>
        <v/>
      </c>
      <c r="Y35">
        <f>HYPERLINK("https://klasma.github.io/Logging_0604/kartor_geotiff/A 10010-2023 georefererad karta.tif", "A 10010-2023")</f>
        <v/>
      </c>
      <c r="AA35">
        <f>HYPERLINK("https://klasma.github.io/Logging_0604/klagomål/A 10010-2023 FSC-klagomål.docx", "A 10010-2023")</f>
        <v/>
      </c>
      <c r="AB35">
        <f>HYPERLINK("https://klasma.github.io/Logging_0604/klagomålsmail/A 10010-2023 FSC-klagomål mail.docx", "A 10010-2023")</f>
        <v/>
      </c>
      <c r="AC35">
        <f>HYPERLINK("https://klasma.github.io/Logging_0604/tillsyn/A 10010-2023 tillsynsbegäran.docx", "A 10010-2023")</f>
        <v/>
      </c>
      <c r="AD35">
        <f>HYPERLINK("https://klasma.github.io/Logging_0604/tillsynsmail/A 10010-2023 tillsynsbegäran mail.docx", "A 10010-2023")</f>
        <v/>
      </c>
    </row>
    <row r="36" ht="15" customHeight="1">
      <c r="A36" t="inlineStr">
        <is>
          <t>A 25891-2026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46236</v>
      </c>
      <c r="F36" t="inlineStr">
        <is>
          <t>JÖNKÖPINGS LÄN</t>
        </is>
      </c>
      <c r="G36" t="inlineStr">
        <is>
          <t>ANEBY</t>
        </is>
      </c>
      <c r="I36" t="n">
        <v>5.6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Stor ängsmaskros</t>
        </is>
      </c>
      <c r="W36">
        <f>HYPERLINK("https://klasma.github.io/Logging_0604/artfynd/A 25891-2026 artfynd.xlsx", "A 25891-2026")</f>
        <v/>
      </c>
      <c r="X36">
        <f>HYPERLINK("https://klasma.github.io/Logging_0604/kartor/A 25891-2026 karta.png", "A 25891-2026")</f>
        <v/>
      </c>
      <c r="Y36">
        <f>HYPERLINK("https://klasma.github.io/Logging_0604/kartor_geotiff/A 25891-2026 georefererad karta.tif", "A 25891-2026")</f>
        <v/>
      </c>
      <c r="AA36">
        <f>HYPERLINK("https://klasma.github.io/Logging_0604/klagomål/A 25891-2026 FSC-klagomål.docx", "A 25891-2026")</f>
        <v/>
      </c>
      <c r="AB36">
        <f>HYPERLINK("https://klasma.github.io/Logging_0604/klagomålsmail/A 25891-2026 FSC-klagomål mail.docx", "A 25891-2026")</f>
        <v/>
      </c>
      <c r="AC36">
        <f>HYPERLINK("https://klasma.github.io/Logging_0604/tillsyn/A 25891-2026 tillsynsbegäran.docx", "A 25891-2026")</f>
        <v/>
      </c>
      <c r="AD36">
        <f>HYPERLINK("https://klasma.github.io/Logging_0604/tillsynsmail/A 25891-2026 tillsynsbegäran mail.docx", "A 25891-2026")</f>
        <v/>
      </c>
    </row>
    <row r="37" ht="15" customHeight="1">
      <c r="A37" t="inlineStr">
        <is>
          <t>A 24820-2026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46236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Grönvit nattviol</t>
        </is>
      </c>
      <c r="W37">
        <f>HYPERLINK("https://klasma.github.io/Logging_0604/artfynd/A 24820-2026 artfynd.xlsx", "A 24820-2026")</f>
        <v/>
      </c>
      <c r="X37">
        <f>HYPERLINK("https://klasma.github.io/Logging_0604/kartor/A 24820-2026 karta.png", "A 24820-2026")</f>
        <v/>
      </c>
      <c r="Y37">
        <f>HYPERLINK("https://klasma.github.io/Logging_0604/kartor_geotiff/A 24820-2026 georefererad karta.tif", "A 24820-2026")</f>
        <v/>
      </c>
      <c r="AA37">
        <f>HYPERLINK("https://klasma.github.io/Logging_0604/klagomål/A 24820-2026 FSC-klagomål.docx", "A 24820-2026")</f>
        <v/>
      </c>
      <c r="AB37">
        <f>HYPERLINK("https://klasma.github.io/Logging_0604/klagomålsmail/A 24820-2026 FSC-klagomål mail.docx", "A 24820-2026")</f>
        <v/>
      </c>
      <c r="AC37">
        <f>HYPERLINK("https://klasma.github.io/Logging_0604/tillsyn/A 24820-2026 tillsynsbegäran.docx", "A 24820-2026")</f>
        <v/>
      </c>
      <c r="AD37">
        <f>HYPERLINK("https://klasma.github.io/Logging_0604/tillsynsmail/A 24820-2026 tillsynsbegäran mail.docx", "A 24820-2026")</f>
        <v/>
      </c>
    </row>
    <row r="38" ht="15" customHeight="1">
      <c r="A38" t="inlineStr">
        <is>
          <t>A 10358-2024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46236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HYPERLINK("https://klasma.github.io/Logging_0604/artfynd/A 10358-2024 artfynd.xlsx", "A 10358-2024")</f>
        <v/>
      </c>
      <c r="X38">
        <f>HYPERLINK("https://klasma.github.io/Logging_0604/kartor/A 10358-2024 karta.png", "A 10358-2024")</f>
        <v/>
      </c>
      <c r="Y38">
        <f>HYPERLINK("https://klasma.github.io/Logging_0604/kartor_geotiff/A 10358-2024 georefererad karta.tif", "A 10358-2024")</f>
        <v/>
      </c>
      <c r="AA38">
        <f>HYPERLINK("https://klasma.github.io/Logging_0604/klagomål/A 10358-2024 FSC-klagomål.docx", "A 10358-2024")</f>
        <v/>
      </c>
      <c r="AB38">
        <f>HYPERLINK("https://klasma.github.io/Logging_0604/klagomålsmail/A 10358-2024 FSC-klagomål mail.docx", "A 10358-2024")</f>
        <v/>
      </c>
      <c r="AC38">
        <f>HYPERLINK("https://klasma.github.io/Logging_0604/tillsyn/A 10358-2024 tillsynsbegäran.docx", "A 10358-2024")</f>
        <v/>
      </c>
      <c r="AD38">
        <f>HYPERLINK("https://klasma.github.io/Logging_0604/tillsynsmail/A 10358-2024 tillsynsbegäran mail.docx", "A 10358-2024")</f>
        <v/>
      </c>
    </row>
    <row r="39" ht="15" customHeight="1">
      <c r="A39" t="inlineStr">
        <is>
          <t>A 8117-2025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45707</v>
      </c>
      <c r="E39" s="1" t="n">
        <v>46236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Enkelbeckasin</t>
        </is>
      </c>
      <c r="W39">
        <f>HYPERLINK("https://klasma.github.io/Logging_0604/artfynd/A 8117-2025 artfynd.xlsx", "A 8117-2025")</f>
        <v/>
      </c>
      <c r="X39">
        <f>HYPERLINK("https://klasma.github.io/Logging_0604/kartor/A 8117-2025 karta.png", "A 8117-2025")</f>
        <v/>
      </c>
      <c r="Y39">
        <f>HYPERLINK("https://klasma.github.io/Logging_0604/kartor_geotiff/A 8117-2025 georefererad karta.tif", "A 8117-2025")</f>
        <v/>
      </c>
      <c r="AA39">
        <f>HYPERLINK("https://klasma.github.io/Logging_0604/klagomål/A 8117-2025 FSC-klagomål.docx", "A 8117-2025")</f>
        <v/>
      </c>
      <c r="AB39">
        <f>HYPERLINK("https://klasma.github.io/Logging_0604/klagomålsmail/A 8117-2025 FSC-klagomål mail.docx", "A 8117-2025")</f>
        <v/>
      </c>
      <c r="AC39">
        <f>HYPERLINK("https://klasma.github.io/Logging_0604/tillsyn/A 8117-2025 tillsynsbegäran.docx", "A 8117-2025")</f>
        <v/>
      </c>
      <c r="AD39">
        <f>HYPERLINK("https://klasma.github.io/Logging_0604/tillsynsmail/A 8117-2025 tillsynsbegäran mail.docx", "A 8117-2025")</f>
        <v/>
      </c>
      <c r="AE39">
        <f>HYPERLINK("https://klasma.github.io/Logging_0604/fåglar/A 8117-2025 prioriterade fågelarter.docx", "A 8117-2025")</f>
        <v/>
      </c>
    </row>
    <row r="40" ht="15" customHeight="1">
      <c r="A40" t="inlineStr">
        <is>
          <t>A 25875-2024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45467</v>
      </c>
      <c r="E40" s="1" t="n">
        <v>46236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Kungsfågel</t>
        </is>
      </c>
      <c r="W40">
        <f>HYPERLINK("https://klasma.github.io/Logging_0604/artfynd/A 25875-2024 artfynd.xlsx", "A 25875-2024")</f>
        <v/>
      </c>
      <c r="X40">
        <f>HYPERLINK("https://klasma.github.io/Logging_0604/kartor/A 25875-2024 karta.png", "A 25875-2024")</f>
        <v/>
      </c>
      <c r="Y40">
        <f>HYPERLINK("https://klasma.github.io/Logging_0604/kartor_geotiff/A 25875-2024 georefererad karta.tif", "A 25875-2024")</f>
        <v/>
      </c>
      <c r="AA40">
        <f>HYPERLINK("https://klasma.github.io/Logging_0604/klagomål/A 25875-2024 FSC-klagomål.docx", "A 25875-2024")</f>
        <v/>
      </c>
      <c r="AB40">
        <f>HYPERLINK("https://klasma.github.io/Logging_0604/klagomålsmail/A 25875-2024 FSC-klagomål mail.docx", "A 25875-2024")</f>
        <v/>
      </c>
      <c r="AC40">
        <f>HYPERLINK("https://klasma.github.io/Logging_0604/tillsyn/A 25875-2024 tillsynsbegäran.docx", "A 25875-2024")</f>
        <v/>
      </c>
      <c r="AD40">
        <f>HYPERLINK("https://klasma.github.io/Logging_0604/tillsynsmail/A 25875-2024 tillsynsbegäran mail.docx", "A 25875-2024")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46236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46236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46236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46236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46236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46236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46236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46236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46236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46236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46236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46236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46236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46236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46236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46236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46236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46236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46236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46236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46236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46236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46236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46236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46236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46236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46236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46236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46236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46236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67414-2021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46236</v>
      </c>
      <c r="F71" t="inlineStr">
        <is>
          <t>JÖNKÖPINGS LÄN</t>
        </is>
      </c>
      <c r="G71" t="inlineStr">
        <is>
          <t>ANEBY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46236</v>
      </c>
      <c r="F72" t="inlineStr">
        <is>
          <t>JÖNKÖPINGS LÄN</t>
        </is>
      </c>
      <c r="G72" t="inlineStr">
        <is>
          <t>ANEBY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44886</v>
      </c>
      <c r="E73" s="1" t="n">
        <v>46236</v>
      </c>
      <c r="F73" t="inlineStr">
        <is>
          <t>JÖNKÖPINGS LÄN</t>
        </is>
      </c>
      <c r="G73" t="inlineStr">
        <is>
          <t>ANEBY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44957</v>
      </c>
      <c r="E74" s="1" t="n">
        <v>46236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46236</v>
      </c>
      <c r="F75" t="inlineStr">
        <is>
          <t>JÖNKÖPINGS LÄN</t>
        </is>
      </c>
      <c r="G75" t="inlineStr">
        <is>
          <t>ANEBY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45454</v>
      </c>
      <c r="E76" s="1" t="n">
        <v>46236</v>
      </c>
      <c r="F76" t="inlineStr">
        <is>
          <t>JÖNKÖPINGS LÄN</t>
        </is>
      </c>
      <c r="G76" t="inlineStr">
        <is>
          <t>ANEBY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44985</v>
      </c>
      <c r="E77" s="1" t="n">
        <v>46236</v>
      </c>
      <c r="F77" t="inlineStr">
        <is>
          <t>JÖNKÖPINGS LÄN</t>
        </is>
      </c>
      <c r="G77" t="inlineStr">
        <is>
          <t>ANEBY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46236</v>
      </c>
      <c r="F78" t="inlineStr">
        <is>
          <t>JÖNKÖPINGS LÄN</t>
        </is>
      </c>
      <c r="G78" t="inlineStr">
        <is>
          <t>ANEBY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46236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45330</v>
      </c>
      <c r="E80" s="1" t="n">
        <v>46236</v>
      </c>
      <c r="F80" t="inlineStr">
        <is>
          <t>JÖNKÖPINGS LÄN</t>
        </is>
      </c>
      <c r="G80" t="inlineStr">
        <is>
          <t>ANEBY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46236</v>
      </c>
      <c r="F81" t="inlineStr">
        <is>
          <t>JÖNKÖPINGS LÄN</t>
        </is>
      </c>
      <c r="G81" t="inlineStr">
        <is>
          <t>ANEBY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46236</v>
      </c>
      <c r="F82" t="inlineStr">
        <is>
          <t>JÖNKÖPINGS LÄN</t>
        </is>
      </c>
      <c r="G82" t="inlineStr">
        <is>
          <t>ANEBY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44890</v>
      </c>
      <c r="E83" s="1" t="n">
        <v>46236</v>
      </c>
      <c r="F83" t="inlineStr">
        <is>
          <t>JÖNKÖPINGS LÄN</t>
        </is>
      </c>
      <c r="G83" t="inlineStr">
        <is>
          <t>ANEBY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44890</v>
      </c>
      <c r="E84" s="1" t="n">
        <v>46236</v>
      </c>
      <c r="F84" t="inlineStr">
        <is>
          <t>JÖNKÖPINGS LÄN</t>
        </is>
      </c>
      <c r="G84" t="inlineStr">
        <is>
          <t>ANEBY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46236</v>
      </c>
      <c r="F85" t="inlineStr">
        <is>
          <t>JÖNKÖPINGS LÄN</t>
        </is>
      </c>
      <c r="G85" t="inlineStr">
        <is>
          <t>ANEBY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46236</v>
      </c>
      <c r="F86" t="inlineStr">
        <is>
          <t>JÖNKÖPINGS LÄN</t>
        </is>
      </c>
      <c r="G86" t="inlineStr">
        <is>
          <t>ANEBY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63624-2023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45275</v>
      </c>
      <c r="E87" s="1" t="n">
        <v>46236</v>
      </c>
      <c r="F87" t="inlineStr">
        <is>
          <t>JÖNKÖPINGS LÄN</t>
        </is>
      </c>
      <c r="G87" t="inlineStr">
        <is>
          <t>ANEBY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41144-2021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44423</v>
      </c>
      <c r="E88" s="1" t="n">
        <v>46236</v>
      </c>
      <c r="F88" t="inlineStr">
        <is>
          <t>JÖNKÖPINGS LÄN</t>
        </is>
      </c>
      <c r="G88" t="inlineStr">
        <is>
          <t>ANEBY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45467</v>
      </c>
      <c r="E89" s="1" t="n">
        <v>46236</v>
      </c>
      <c r="F89" t="inlineStr">
        <is>
          <t>JÖNKÖPINGS LÄN</t>
        </is>
      </c>
      <c r="G89" t="inlineStr">
        <is>
          <t>ANEBY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  <c r="Z89">
        <f>HYPERLINK("https://klasma.github.io/Logging_0604/knärot/A 25963-2024 karta knärot.png", "A 25963-2024")</f>
        <v/>
      </c>
      <c r="AA89">
        <f>HYPERLINK("https://klasma.github.io/Logging_0604/klagomål/A 25963-2024 FSC-klagomål.docx", "A 25963-2024")</f>
        <v/>
      </c>
      <c r="AB89">
        <f>HYPERLINK("https://klasma.github.io/Logging_0604/klagomålsmail/A 25963-2024 FSC-klagomål mail.docx", "A 25963-2024")</f>
        <v/>
      </c>
      <c r="AC89">
        <f>HYPERLINK("https://klasma.github.io/Logging_0604/tillsyn/A 25963-2024 tillsynsbegäran.docx", "A 25963-2024")</f>
        <v/>
      </c>
      <c r="AD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45156</v>
      </c>
      <c r="E90" s="1" t="n">
        <v>46236</v>
      </c>
      <c r="F90" t="inlineStr">
        <is>
          <t>JÖNKÖPINGS LÄN</t>
        </is>
      </c>
      <c r="G90" t="inlineStr">
        <is>
          <t>ANEBY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45189</v>
      </c>
      <c r="E91" s="1" t="n">
        <v>46236</v>
      </c>
      <c r="F91" t="inlineStr">
        <is>
          <t>JÖNKÖPINGS LÄN</t>
        </is>
      </c>
      <c r="G91" t="inlineStr">
        <is>
          <t>ANEBY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21355-2022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46236</v>
      </c>
      <c r="F92" t="inlineStr">
        <is>
          <t>JÖNKÖPINGS LÄN</t>
        </is>
      </c>
      <c r="G92" t="inlineStr">
        <is>
          <t>ANEBY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46236</v>
      </c>
      <c r="F93" t="inlineStr">
        <is>
          <t>JÖNKÖPINGS LÄN</t>
        </is>
      </c>
      <c r="G93" t="inlineStr">
        <is>
          <t>ANEBY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4836-2023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44957</v>
      </c>
      <c r="E94" s="1" t="n">
        <v>46236</v>
      </c>
      <c r="F94" t="inlineStr">
        <is>
          <t>JÖNKÖPINGS LÄN</t>
        </is>
      </c>
      <c r="G94" t="inlineStr">
        <is>
          <t>ANEBY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35773-2023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45148</v>
      </c>
      <c r="E95" s="1" t="n">
        <v>46236</v>
      </c>
      <c r="F95" t="inlineStr">
        <is>
          <t>JÖNKÖPINGS LÄN</t>
        </is>
      </c>
      <c r="G95" t="inlineStr">
        <is>
          <t>ANEBY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44550</v>
      </c>
      <c r="E96" s="1" t="n">
        <v>46236</v>
      </c>
      <c r="F96" t="inlineStr">
        <is>
          <t>JÖNKÖPINGS LÄN</t>
        </is>
      </c>
      <c r="G96" t="inlineStr">
        <is>
          <t>ANEBY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27714-2024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45475</v>
      </c>
      <c r="E97" s="1" t="n">
        <v>46236</v>
      </c>
      <c r="F97" t="inlineStr">
        <is>
          <t>JÖNKÖPINGS LÄN</t>
        </is>
      </c>
      <c r="G97" t="inlineStr">
        <is>
          <t>ANEBY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46236</v>
      </c>
      <c r="F98" t="inlineStr">
        <is>
          <t>JÖNKÖPINGS LÄN</t>
        </is>
      </c>
      <c r="G98" t="inlineStr">
        <is>
          <t>ANEBY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46236</v>
      </c>
      <c r="F99" t="inlineStr">
        <is>
          <t>JÖNKÖPINGS LÄN</t>
        </is>
      </c>
      <c r="G99" t="inlineStr">
        <is>
          <t>ANEBY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49427-2023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45205</v>
      </c>
      <c r="E100" s="1" t="n">
        <v>46236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45092</v>
      </c>
      <c r="E101" s="1" t="n">
        <v>46236</v>
      </c>
      <c r="F101" t="inlineStr">
        <is>
          <t>JÖNKÖPINGS LÄN</t>
        </is>
      </c>
      <c r="G101" t="inlineStr">
        <is>
          <t>ANEBY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46236</v>
      </c>
      <c r="F102" t="inlineStr">
        <is>
          <t>JÖNKÖPINGS LÄN</t>
        </is>
      </c>
      <c r="G102" t="inlineStr">
        <is>
          <t>ANEBY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49398-2022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44859</v>
      </c>
      <c r="E103" s="1" t="n">
        <v>46236</v>
      </c>
      <c r="F103" t="inlineStr">
        <is>
          <t>JÖNKÖPINGS LÄN</t>
        </is>
      </c>
      <c r="G103" t="inlineStr">
        <is>
          <t>ANEBY</t>
        </is>
      </c>
      <c r="H103" t="inlineStr">
        <is>
          <t>Övriga Aktiebolag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46236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12477-2023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44999</v>
      </c>
      <c r="E105" s="1" t="n">
        <v>46236</v>
      </c>
      <c r="F105" t="inlineStr">
        <is>
          <t>JÖNKÖPINGS LÄN</t>
        </is>
      </c>
      <c r="G105" t="inlineStr">
        <is>
          <t>ANEBY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45460</v>
      </c>
      <c r="E106" s="1" t="n">
        <v>46236</v>
      </c>
      <c r="F106" t="inlineStr">
        <is>
          <t>JÖNKÖPINGS LÄN</t>
        </is>
      </c>
      <c r="G106" t="inlineStr">
        <is>
          <t>ANEBY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46236</v>
      </c>
      <c r="F107" t="inlineStr">
        <is>
          <t>JÖNKÖPINGS LÄN</t>
        </is>
      </c>
      <c r="G107" t="inlineStr">
        <is>
          <t>ANEBY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46236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46236</v>
      </c>
      <c r="F109" t="inlineStr">
        <is>
          <t>JÖNKÖPINGS LÄN</t>
        </is>
      </c>
      <c r="G109" t="inlineStr">
        <is>
          <t>ANEBY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14338-2024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45393</v>
      </c>
      <c r="E110" s="1" t="n">
        <v>46236</v>
      </c>
      <c r="F110" t="inlineStr">
        <is>
          <t>JÖNKÖPINGS LÄN</t>
        </is>
      </c>
      <c r="G110" t="inlineStr">
        <is>
          <t>ANEBY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46236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45555</v>
      </c>
      <c r="E112" s="1" t="n">
        <v>46236</v>
      </c>
      <c r="F112" t="inlineStr">
        <is>
          <t>JÖNKÖPINGS LÄN</t>
        </is>
      </c>
      <c r="G112" t="inlineStr">
        <is>
          <t>ANEBY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46236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52267-2024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46236</v>
      </c>
      <c r="F114" t="inlineStr">
        <is>
          <t>JÖNKÖPINGS LÄN</t>
        </is>
      </c>
      <c r="G114" t="inlineStr">
        <is>
          <t>ANEBY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46236</v>
      </c>
      <c r="F115" t="inlineStr">
        <is>
          <t>JÖNKÖPINGS LÄN</t>
        </is>
      </c>
      <c r="G115" t="inlineStr">
        <is>
          <t>ANEBY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46236</v>
      </c>
      <c r="F116" t="inlineStr">
        <is>
          <t>JÖNKÖPINGS LÄN</t>
        </is>
      </c>
      <c r="G116" t="inlineStr">
        <is>
          <t>ANEBY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49133-2022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44860</v>
      </c>
      <c r="E117" s="1" t="n">
        <v>46236</v>
      </c>
      <c r="F117" t="inlineStr">
        <is>
          <t>JÖNKÖPINGS LÄN</t>
        </is>
      </c>
      <c r="G117" t="inlineStr">
        <is>
          <t>ANEBY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46236</v>
      </c>
      <c r="F118" t="inlineStr">
        <is>
          <t>JÖNKÖPINGS LÄN</t>
        </is>
      </c>
      <c r="G118" t="inlineStr">
        <is>
          <t>ANEBY</t>
        </is>
      </c>
      <c r="I118" t="n">
        <v>10.1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46236</v>
      </c>
      <c r="F119" t="inlineStr">
        <is>
          <t>JÖNKÖPINGS LÄN</t>
        </is>
      </c>
      <c r="G119" t="inlineStr">
        <is>
          <t>ANEBY</t>
        </is>
      </c>
      <c r="H119" t="inlineStr">
        <is>
          <t>Sveaskog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42071-2025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46236</v>
      </c>
      <c r="F120" t="inlineStr">
        <is>
          <t>JÖNKÖPINGS LÄN</t>
        </is>
      </c>
      <c r="G120" t="inlineStr">
        <is>
          <t>ANEBY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46236</v>
      </c>
      <c r="F121" t="inlineStr">
        <is>
          <t>JÖNKÖPINGS LÄN</t>
        </is>
      </c>
      <c r="G121" t="inlineStr">
        <is>
          <t>ANEBY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46236</v>
      </c>
      <c r="F122" t="inlineStr">
        <is>
          <t>JÖNKÖPINGS LÄN</t>
        </is>
      </c>
      <c r="G122" t="inlineStr">
        <is>
          <t>ANEBY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46236</v>
      </c>
      <c r="F123" t="inlineStr">
        <is>
          <t>JÖNKÖPINGS LÄN</t>
        </is>
      </c>
      <c r="G123" t="inlineStr">
        <is>
          <t>ANEBY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46236</v>
      </c>
      <c r="F124" t="inlineStr">
        <is>
          <t>JÖNKÖPINGS LÄN</t>
        </is>
      </c>
      <c r="G124" t="inlineStr">
        <is>
          <t>ANEBY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55708-2022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44888</v>
      </c>
      <c r="E125" s="1" t="n">
        <v>46236</v>
      </c>
      <c r="F125" t="inlineStr">
        <is>
          <t>JÖNKÖPINGS LÄN</t>
        </is>
      </c>
      <c r="G125" t="inlineStr">
        <is>
          <t>ANEBY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45553</v>
      </c>
      <c r="E126" s="1" t="n">
        <v>46236</v>
      </c>
      <c r="F126" t="inlineStr">
        <is>
          <t>JÖNKÖPINGS LÄN</t>
        </is>
      </c>
      <c r="G126" t="inlineStr">
        <is>
          <t>ANEBY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46236</v>
      </c>
      <c r="F127" t="inlineStr">
        <is>
          <t>JÖNKÖPINGS LÄN</t>
        </is>
      </c>
      <c r="G127" t="inlineStr">
        <is>
          <t>ANEBY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46236</v>
      </c>
      <c r="F128" t="inlineStr">
        <is>
          <t>JÖNKÖPINGS LÄN</t>
        </is>
      </c>
      <c r="G128" t="inlineStr">
        <is>
          <t>ANEBY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46236</v>
      </c>
      <c r="F129" t="inlineStr">
        <is>
          <t>JÖNKÖPINGS LÄN</t>
        </is>
      </c>
      <c r="G129" t="inlineStr">
        <is>
          <t>ANEBY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46236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18.6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46236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43528-2025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45911</v>
      </c>
      <c r="E132" s="1" t="n">
        <v>46236</v>
      </c>
      <c r="F132" t="inlineStr">
        <is>
          <t>JÖNKÖPINGS LÄN</t>
        </is>
      </c>
      <c r="G132" t="inlineStr">
        <is>
          <t>ANEBY</t>
        </is>
      </c>
      <c r="H132" t="inlineStr">
        <is>
          <t>Övriga Aktiebolag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703-2024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45300</v>
      </c>
      <c r="E133" s="1" t="n">
        <v>46236</v>
      </c>
      <c r="F133" t="inlineStr">
        <is>
          <t>JÖNKÖPINGS LÄN</t>
        </is>
      </c>
      <c r="G133" t="inlineStr">
        <is>
          <t>ANEBY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46236</v>
      </c>
      <c r="F134" t="inlineStr">
        <is>
          <t>JÖNKÖPINGS LÄN</t>
        </is>
      </c>
      <c r="G134" t="inlineStr">
        <is>
          <t>ANEBY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46236</v>
      </c>
      <c r="F135" t="inlineStr">
        <is>
          <t>JÖNKÖPINGS LÄN</t>
        </is>
      </c>
      <c r="G135" t="inlineStr">
        <is>
          <t>ANEBY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9068-2024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46236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11565-2025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45727</v>
      </c>
      <c r="E137" s="1" t="n">
        <v>46236</v>
      </c>
      <c r="F137" t="inlineStr">
        <is>
          <t>JÖNKÖPINGS LÄN</t>
        </is>
      </c>
      <c r="G137" t="inlineStr">
        <is>
          <t>ANEBY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46236</v>
      </c>
      <c r="F138" t="inlineStr">
        <is>
          <t>JÖNKÖPINGS LÄN</t>
        </is>
      </c>
      <c r="G138" t="inlineStr">
        <is>
          <t>ANEBY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45034</v>
      </c>
      <c r="E139" s="1" t="n">
        <v>46236</v>
      </c>
      <c r="F139" t="inlineStr">
        <is>
          <t>JÖNKÖPINGS LÄN</t>
        </is>
      </c>
      <c r="G139" t="inlineStr">
        <is>
          <t>ANEBY</t>
        </is>
      </c>
      <c r="H139" t="inlineStr">
        <is>
          <t>Kyrkan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45617</v>
      </c>
      <c r="E140" s="1" t="n">
        <v>46236</v>
      </c>
      <c r="F140" t="inlineStr">
        <is>
          <t>JÖNKÖPINGS LÄN</t>
        </is>
      </c>
      <c r="G140" t="inlineStr">
        <is>
          <t>ANEBY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43485-2023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45184</v>
      </c>
      <c r="E141" s="1" t="n">
        <v>46236</v>
      </c>
      <c r="F141" t="inlineStr">
        <is>
          <t>JÖNKÖPINGS LÄN</t>
        </is>
      </c>
      <c r="G141" t="inlineStr">
        <is>
          <t>ANEBY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46236</v>
      </c>
      <c r="F142" t="inlineStr">
        <is>
          <t>JÖNKÖPINGS LÄN</t>
        </is>
      </c>
      <c r="G142" t="inlineStr">
        <is>
          <t>ANEBY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45020</v>
      </c>
      <c r="E143" s="1" t="n">
        <v>46236</v>
      </c>
      <c r="F143" t="inlineStr">
        <is>
          <t>JÖNKÖPINGS LÄN</t>
        </is>
      </c>
      <c r="G143" t="inlineStr">
        <is>
          <t>ANEBY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48728-2025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46236</v>
      </c>
      <c r="F144" t="inlineStr">
        <is>
          <t>JÖNKÖPINGS LÄN</t>
        </is>
      </c>
      <c r="G144" t="inlineStr">
        <is>
          <t>ANEBY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44994</v>
      </c>
      <c r="E145" s="1" t="n">
        <v>46236</v>
      </c>
      <c r="F145" t="inlineStr">
        <is>
          <t>JÖNKÖPINGS LÄN</t>
        </is>
      </c>
      <c r="G145" t="inlineStr">
        <is>
          <t>ANEBY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44851</v>
      </c>
      <c r="E146" s="1" t="n">
        <v>46236</v>
      </c>
      <c r="F146" t="inlineStr">
        <is>
          <t>JÖNKÖPINGS LÄN</t>
        </is>
      </c>
      <c r="G146" t="inlineStr">
        <is>
          <t>ANEBY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45357</v>
      </c>
      <c r="E147" s="1" t="n">
        <v>46236</v>
      </c>
      <c r="F147" t="inlineStr">
        <is>
          <t>JÖNKÖPINGS LÄN</t>
        </is>
      </c>
      <c r="G147" t="inlineStr">
        <is>
          <t>ANEBY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45357</v>
      </c>
      <c r="E148" s="1" t="n">
        <v>46236</v>
      </c>
      <c r="F148" t="inlineStr">
        <is>
          <t>JÖNKÖPINGS LÄN</t>
        </is>
      </c>
      <c r="G148" t="inlineStr">
        <is>
          <t>ANEBY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51331-2021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46236</v>
      </c>
      <c r="F149" t="inlineStr">
        <is>
          <t>JÖNKÖPINGS LÄN</t>
        </is>
      </c>
      <c r="G149" t="inlineStr">
        <is>
          <t>ANEBY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46236</v>
      </c>
      <c r="F150" t="inlineStr">
        <is>
          <t>JÖNKÖPINGS LÄN</t>
        </is>
      </c>
      <c r="G150" t="inlineStr">
        <is>
          <t>ANEBY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45468</v>
      </c>
      <c r="E151" s="1" t="n">
        <v>46236</v>
      </c>
      <c r="F151" t="inlineStr">
        <is>
          <t>JÖNKÖPINGS LÄN</t>
        </is>
      </c>
      <c r="G151" t="inlineStr">
        <is>
          <t>ANEBY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21356-2026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46147</v>
      </c>
      <c r="E152" s="1" t="n">
        <v>46236</v>
      </c>
      <c r="F152" t="inlineStr">
        <is>
          <t>JÖNKÖPINGS LÄN</t>
        </is>
      </c>
      <c r="G152" t="inlineStr">
        <is>
          <t>ANEBY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46236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46236</v>
      </c>
      <c r="F154" t="inlineStr">
        <is>
          <t>JÖNKÖPINGS LÄN</t>
        </is>
      </c>
      <c r="G154" t="inlineStr">
        <is>
          <t>ANEBY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45141</v>
      </c>
      <c r="E155" s="1" t="n">
        <v>46236</v>
      </c>
      <c r="F155" t="inlineStr">
        <is>
          <t>JÖNKÖPINGS LÄN</t>
        </is>
      </c>
      <c r="G155" t="inlineStr">
        <is>
          <t>ANEBY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44620</v>
      </c>
      <c r="E156" s="1" t="n">
        <v>46236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46236</v>
      </c>
      <c r="F157" t="inlineStr">
        <is>
          <t>JÖNKÖPINGS LÄN</t>
        </is>
      </c>
      <c r="G157" t="inlineStr">
        <is>
          <t>ANEBY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46236</v>
      </c>
      <c r="F158" t="inlineStr">
        <is>
          <t>JÖNKÖPINGS LÄN</t>
        </is>
      </c>
      <c r="G158" t="inlineStr">
        <is>
          <t>ANEBY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46236</v>
      </c>
      <c r="F159" t="inlineStr">
        <is>
          <t>JÖNKÖPINGS LÄN</t>
        </is>
      </c>
      <c r="G159" t="inlineStr">
        <is>
          <t>ANEBY</t>
        </is>
      </c>
      <c r="H159" t="inlineStr">
        <is>
          <t>Kyrkan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46236</v>
      </c>
      <c r="F160" t="inlineStr">
        <is>
          <t>JÖNKÖPINGS LÄN</t>
        </is>
      </c>
      <c r="G160" t="inlineStr">
        <is>
          <t>ANEBY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45379</v>
      </c>
      <c r="E161" s="1" t="n">
        <v>46236</v>
      </c>
      <c r="F161" t="inlineStr">
        <is>
          <t>JÖNKÖPINGS LÄN</t>
        </is>
      </c>
      <c r="G161" t="inlineStr">
        <is>
          <t>ANEBY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46236</v>
      </c>
      <c r="F162" t="inlineStr">
        <is>
          <t>JÖNKÖPINGS LÄN</t>
        </is>
      </c>
      <c r="G162" t="inlineStr">
        <is>
          <t>ANEBY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43613-2023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45184</v>
      </c>
      <c r="E163" s="1" t="n">
        <v>46236</v>
      </c>
      <c r="F163" t="inlineStr">
        <is>
          <t>JÖNKÖPINGS LÄN</t>
        </is>
      </c>
      <c r="G163" t="inlineStr">
        <is>
          <t>ANEBY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27994-2026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46236</v>
      </c>
      <c r="F164" t="inlineStr">
        <is>
          <t>JÖNKÖPINGS LÄN</t>
        </is>
      </c>
      <c r="G164" t="inlineStr">
        <is>
          <t>ANEBY</t>
        </is>
      </c>
      <c r="H164" t="inlineStr">
        <is>
          <t>Kyrkan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44482</v>
      </c>
      <c r="E165" s="1" t="n">
        <v>46236</v>
      </c>
      <c r="F165" t="inlineStr">
        <is>
          <t>JÖNKÖPINGS LÄN</t>
        </is>
      </c>
      <c r="G165" t="inlineStr">
        <is>
          <t>ANEBY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46236</v>
      </c>
      <c r="F166" t="inlineStr">
        <is>
          <t>JÖNKÖPINGS LÄN</t>
        </is>
      </c>
      <c r="G166" t="inlineStr">
        <is>
          <t>ANEBY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23349-2023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45076</v>
      </c>
      <c r="E167" s="1" t="n">
        <v>46236</v>
      </c>
      <c r="F167" t="inlineStr">
        <is>
          <t>JÖNKÖPINGS LÄN</t>
        </is>
      </c>
      <c r="G167" t="inlineStr">
        <is>
          <t>ANEBY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46196</v>
      </c>
      <c r="E168" s="1" t="n">
        <v>46236</v>
      </c>
      <c r="F168" t="inlineStr">
        <is>
          <t>JÖNKÖPINGS LÄN</t>
        </is>
      </c>
      <c r="G168" t="inlineStr">
        <is>
          <t>ANEBY</t>
        </is>
      </c>
      <c r="H168" t="inlineStr">
        <is>
          <t>Kyrkan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45028</v>
      </c>
      <c r="E169" s="1" t="n">
        <v>46236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45182</v>
      </c>
      <c r="E170" s="1" t="n">
        <v>46236</v>
      </c>
      <c r="F170" t="inlineStr">
        <is>
          <t>JÖNKÖPINGS LÄN</t>
        </is>
      </c>
      <c r="G170" t="inlineStr">
        <is>
          <t>ANEBY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45653</v>
      </c>
      <c r="E171" s="1" t="n">
        <v>46236</v>
      </c>
      <c r="F171" t="inlineStr">
        <is>
          <t>JÖNKÖPINGS LÄN</t>
        </is>
      </c>
      <c r="G171" t="inlineStr">
        <is>
          <t>ANEBY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46236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46236</v>
      </c>
      <c r="F173" t="inlineStr">
        <is>
          <t>JÖNKÖPINGS LÄN</t>
        </is>
      </c>
      <c r="G173" t="inlineStr">
        <is>
          <t>ANEBY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46236</v>
      </c>
      <c r="F174" t="inlineStr">
        <is>
          <t>JÖNKÖPINGS LÄN</t>
        </is>
      </c>
      <c r="G174" t="inlineStr">
        <is>
          <t>ANEBY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46236</v>
      </c>
      <c r="F175" t="inlineStr">
        <is>
          <t>JÖNKÖPINGS LÄN</t>
        </is>
      </c>
      <c r="G175" t="inlineStr">
        <is>
          <t>ANEBY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46236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45033</v>
      </c>
      <c r="E177" s="1" t="n">
        <v>46236</v>
      </c>
      <c r="F177" t="inlineStr">
        <is>
          <t>JÖNKÖPINGS LÄN</t>
        </is>
      </c>
      <c r="G177" t="inlineStr">
        <is>
          <t>ANEBY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46236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46236</v>
      </c>
      <c r="F179" t="inlineStr">
        <is>
          <t>JÖNKÖPINGS LÄN</t>
        </is>
      </c>
      <c r="G179" t="inlineStr">
        <is>
          <t>ANEBY</t>
        </is>
      </c>
      <c r="H179" t="inlineStr">
        <is>
          <t>Övriga Aktiebolag</t>
        </is>
      </c>
      <c r="I179" t="n">
        <v>19.6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46236</v>
      </c>
      <c r="F180" t="inlineStr">
        <is>
          <t>JÖNKÖPINGS LÄN</t>
        </is>
      </c>
      <c r="G180" t="inlineStr">
        <is>
          <t>ANEBY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46236</v>
      </c>
      <c r="F181" t="inlineStr">
        <is>
          <t>JÖNKÖPINGS LÄN</t>
        </is>
      </c>
      <c r="G181" t="inlineStr">
        <is>
          <t>ANEBY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46236</v>
      </c>
      <c r="F182" t="inlineStr">
        <is>
          <t>JÖNKÖPINGS LÄN</t>
        </is>
      </c>
      <c r="G182" t="inlineStr">
        <is>
          <t>ANEBY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20219-2025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45772</v>
      </c>
      <c r="E183" s="1" t="n">
        <v>46236</v>
      </c>
      <c r="F183" t="inlineStr">
        <is>
          <t>JÖNKÖPINGS LÄN</t>
        </is>
      </c>
      <c r="G183" t="inlineStr">
        <is>
          <t>ANEBY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46236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44985</v>
      </c>
      <c r="E185" s="1" t="n">
        <v>46236</v>
      </c>
      <c r="F185" t="inlineStr">
        <is>
          <t>JÖNKÖPINGS LÄN</t>
        </is>
      </c>
      <c r="G185" t="inlineStr">
        <is>
          <t>ANEBY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46236</v>
      </c>
      <c r="F186" t="inlineStr">
        <is>
          <t>JÖNKÖPINGS LÄN</t>
        </is>
      </c>
      <c r="G186" t="inlineStr">
        <is>
          <t>ANEBY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45769</v>
      </c>
      <c r="E187" s="1" t="n">
        <v>46236</v>
      </c>
      <c r="F187" t="inlineStr">
        <is>
          <t>JÖNKÖPINGS LÄN</t>
        </is>
      </c>
      <c r="G187" t="inlineStr">
        <is>
          <t>ANEBY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44606</v>
      </c>
      <c r="E188" s="1" t="n">
        <v>46236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45016</v>
      </c>
      <c r="E189" s="1" t="n">
        <v>46236</v>
      </c>
      <c r="F189" t="inlineStr">
        <is>
          <t>JÖNKÖPINGS LÄN</t>
        </is>
      </c>
      <c r="G189" t="inlineStr">
        <is>
          <t>ANEBY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23354-2023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45076</v>
      </c>
      <c r="E190" s="1" t="n">
        <v>46236</v>
      </c>
      <c r="F190" t="inlineStr">
        <is>
          <t>JÖNKÖPINGS LÄN</t>
        </is>
      </c>
      <c r="G190" t="inlineStr">
        <is>
          <t>ANEBY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46236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46236</v>
      </c>
      <c r="F192" t="inlineStr">
        <is>
          <t>JÖNKÖPINGS LÄN</t>
        </is>
      </c>
      <c r="G192" t="inlineStr">
        <is>
          <t>ANEBY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46236</v>
      </c>
      <c r="F193" t="inlineStr">
        <is>
          <t>JÖNKÖPINGS LÄN</t>
        </is>
      </c>
      <c r="G193" t="inlineStr">
        <is>
          <t>ANEBY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45086</v>
      </c>
      <c r="E194" s="1" t="n">
        <v>46236</v>
      </c>
      <c r="F194" t="inlineStr">
        <is>
          <t>JÖNKÖPINGS LÄN</t>
        </is>
      </c>
      <c r="G194" t="inlineStr">
        <is>
          <t>ANEBY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46236</v>
      </c>
      <c r="F195" t="inlineStr">
        <is>
          <t>JÖNKÖPINGS LÄN</t>
        </is>
      </c>
      <c r="G195" t="inlineStr">
        <is>
          <t>ANEBY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46236</v>
      </c>
      <c r="F196" t="inlineStr">
        <is>
          <t>JÖNKÖPINGS LÄN</t>
        </is>
      </c>
      <c r="G196" t="inlineStr">
        <is>
          <t>ANEBY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10456-2023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44981</v>
      </c>
      <c r="E197" s="1" t="n">
        <v>46236</v>
      </c>
      <c r="F197" t="inlineStr">
        <is>
          <t>JÖNKÖPINGS LÄN</t>
        </is>
      </c>
      <c r="G197" t="inlineStr">
        <is>
          <t>ANEBY</t>
        </is>
      </c>
      <c r="H197" t="inlineStr">
        <is>
          <t>Övriga Aktiebolag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46236</v>
      </c>
      <c r="F198" t="inlineStr">
        <is>
          <t>JÖNKÖPINGS LÄN</t>
        </is>
      </c>
      <c r="G198" t="inlineStr">
        <is>
          <t>ANEBY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46236</v>
      </c>
      <c r="F199" t="inlineStr">
        <is>
          <t>JÖNKÖPINGS LÄN</t>
        </is>
      </c>
      <c r="G199" t="inlineStr">
        <is>
          <t>ANEBY</t>
        </is>
      </c>
      <c r="H199" t="inlineStr">
        <is>
          <t>Sveaskog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51185-2021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44461</v>
      </c>
      <c r="E200" s="1" t="n">
        <v>46236</v>
      </c>
      <c r="F200" t="inlineStr">
        <is>
          <t>JÖNKÖPINGS LÄN</t>
        </is>
      </c>
      <c r="G200" t="inlineStr">
        <is>
          <t>ANEBY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46236</v>
      </c>
      <c r="F201" t="inlineStr">
        <is>
          <t>JÖNKÖPINGS LÄN</t>
        </is>
      </c>
      <c r="G201" t="inlineStr">
        <is>
          <t>ANEBY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46236</v>
      </c>
      <c r="F202" t="inlineStr">
        <is>
          <t>JÖNKÖPINGS LÄN</t>
        </is>
      </c>
      <c r="G202" t="inlineStr">
        <is>
          <t>ANEBY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46236</v>
      </c>
      <c r="F203" t="inlineStr">
        <is>
          <t>JÖNKÖPINGS LÄN</t>
        </is>
      </c>
      <c r="G203" t="inlineStr">
        <is>
          <t>ANEBY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45089</v>
      </c>
      <c r="E204" s="1" t="n">
        <v>46236</v>
      </c>
      <c r="F204" t="inlineStr">
        <is>
          <t>JÖNKÖPINGS LÄN</t>
        </is>
      </c>
      <c r="G204" t="inlineStr">
        <is>
          <t>ANEBY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45183</v>
      </c>
      <c r="E205" s="1" t="n">
        <v>46236</v>
      </c>
      <c r="F205" t="inlineStr">
        <is>
          <t>JÖNKÖPINGS LÄN</t>
        </is>
      </c>
      <c r="G205" t="inlineStr">
        <is>
          <t>ANEBY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46006</v>
      </c>
      <c r="E206" s="1" t="n">
        <v>46236</v>
      </c>
      <c r="F206" t="inlineStr">
        <is>
          <t>JÖNKÖPINGS LÄN</t>
        </is>
      </c>
      <c r="G206" t="inlineStr">
        <is>
          <t>ANEBY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46236</v>
      </c>
      <c r="F207" t="inlineStr">
        <is>
          <t>JÖNKÖPINGS LÄN</t>
        </is>
      </c>
      <c r="G207" t="inlineStr">
        <is>
          <t>ANEBY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46236</v>
      </c>
      <c r="F208" t="inlineStr">
        <is>
          <t>JÖNKÖPINGS LÄN</t>
        </is>
      </c>
      <c r="G208" t="inlineStr">
        <is>
          <t>ANEBY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46236</v>
      </c>
      <c r="F209" t="inlineStr">
        <is>
          <t>JÖNKÖPINGS LÄN</t>
        </is>
      </c>
      <c r="G209" t="inlineStr">
        <is>
          <t>ANEBY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46236</v>
      </c>
      <c r="F210" t="inlineStr">
        <is>
          <t>JÖNKÖPINGS LÄN</t>
        </is>
      </c>
      <c r="G210" t="inlineStr">
        <is>
          <t>ANEBY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59507-2022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44900</v>
      </c>
      <c r="E211" s="1" t="n">
        <v>46236</v>
      </c>
      <c r="F211" t="inlineStr">
        <is>
          <t>JÖNKÖPINGS LÄN</t>
        </is>
      </c>
      <c r="G211" t="inlineStr">
        <is>
          <t>ANEBY</t>
        </is>
      </c>
      <c r="H211" t="inlineStr">
        <is>
          <t>Övriga Aktiebolag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46236</v>
      </c>
      <c r="F212" t="inlineStr">
        <is>
          <t>JÖNKÖPINGS LÄN</t>
        </is>
      </c>
      <c r="G212" t="inlineStr">
        <is>
          <t>ANEBY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46236</v>
      </c>
      <c r="F213" t="inlineStr">
        <is>
          <t>JÖNKÖPINGS LÄN</t>
        </is>
      </c>
      <c r="G213" t="inlineStr">
        <is>
          <t>ANEBY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56735-2021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44481</v>
      </c>
      <c r="E214" s="1" t="n">
        <v>46236</v>
      </c>
      <c r="F214" t="inlineStr">
        <is>
          <t>JÖNKÖPINGS LÄN</t>
        </is>
      </c>
      <c r="G214" t="inlineStr">
        <is>
          <t>ANEBY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46236</v>
      </c>
      <c r="F215" t="inlineStr">
        <is>
          <t>JÖNKÖPINGS LÄN</t>
        </is>
      </c>
      <c r="G215" t="inlineStr">
        <is>
          <t>ANEBY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46236</v>
      </c>
      <c r="F216" t="inlineStr">
        <is>
          <t>JÖNKÖPINGS LÄN</t>
        </is>
      </c>
      <c r="G216" t="inlineStr">
        <is>
          <t>ANEBY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45146</v>
      </c>
      <c r="E217" s="1" t="n">
        <v>46236</v>
      </c>
      <c r="F217" t="inlineStr">
        <is>
          <t>JÖNKÖPINGS LÄN</t>
        </is>
      </c>
      <c r="G217" t="inlineStr">
        <is>
          <t>ANEBY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9880-2024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45363</v>
      </c>
      <c r="E218" s="1" t="n">
        <v>46236</v>
      </c>
      <c r="F218" t="inlineStr">
        <is>
          <t>JÖNKÖPINGS LÄN</t>
        </is>
      </c>
      <c r="G218" t="inlineStr">
        <is>
          <t>ANEBY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31043-2026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46214</v>
      </c>
      <c r="E219" s="1" t="n">
        <v>46236</v>
      </c>
      <c r="F219" t="inlineStr">
        <is>
          <t>JÖNKÖPINGS LÄN</t>
        </is>
      </c>
      <c r="G219" t="inlineStr">
        <is>
          <t>ANEBY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46214</v>
      </c>
      <c r="E220" s="1" t="n">
        <v>46236</v>
      </c>
      <c r="F220" t="inlineStr">
        <is>
          <t>JÖNKÖPINGS LÄN</t>
        </is>
      </c>
      <c r="G220" t="inlineStr">
        <is>
          <t>ANEBY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46214</v>
      </c>
      <c r="E221" s="1" t="n">
        <v>46236</v>
      </c>
      <c r="F221" t="inlineStr">
        <is>
          <t>JÖNKÖPINGS LÄN</t>
        </is>
      </c>
      <c r="G221" t="inlineStr">
        <is>
          <t>ANEBY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45379</v>
      </c>
      <c r="E222" s="1" t="n">
        <v>46236</v>
      </c>
      <c r="F222" t="inlineStr">
        <is>
          <t>JÖNKÖPINGS LÄN</t>
        </is>
      </c>
      <c r="G222" t="inlineStr">
        <is>
          <t>ANEBY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24672-2026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46236</v>
      </c>
      <c r="F223" t="inlineStr">
        <is>
          <t>JÖNKÖPINGS LÄN</t>
        </is>
      </c>
      <c r="G223" t="inlineStr">
        <is>
          <t>ANEBY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63901-2025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46020</v>
      </c>
      <c r="E224" s="1" t="n">
        <v>46236</v>
      </c>
      <c r="F224" t="inlineStr">
        <is>
          <t>JÖNKÖPINGS LÄN</t>
        </is>
      </c>
      <c r="G224" t="inlineStr">
        <is>
          <t>ANEBY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46236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12238-2024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45378</v>
      </c>
      <c r="E226" s="1" t="n">
        <v>46236</v>
      </c>
      <c r="F226" t="inlineStr">
        <is>
          <t>JÖNKÖPINGS LÄN</t>
        </is>
      </c>
      <c r="G226" t="inlineStr">
        <is>
          <t>ANEBY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46021</v>
      </c>
      <c r="E227" s="1" t="n">
        <v>46236</v>
      </c>
      <c r="F227" t="inlineStr">
        <is>
          <t>JÖNKÖPINGS LÄN</t>
        </is>
      </c>
      <c r="G227" t="inlineStr">
        <is>
          <t>ANEBY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46021</v>
      </c>
      <c r="E228" s="1" t="n">
        <v>46236</v>
      </c>
      <c r="F228" t="inlineStr">
        <is>
          <t>JÖNKÖPINGS LÄN</t>
        </is>
      </c>
      <c r="G228" t="inlineStr">
        <is>
          <t>ANEBY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46176</v>
      </c>
      <c r="E229" s="1" t="n">
        <v>46236</v>
      </c>
      <c r="F229" t="inlineStr">
        <is>
          <t>JÖNKÖPINGS LÄN</t>
        </is>
      </c>
      <c r="G229" t="inlineStr">
        <is>
          <t>ANEBY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46236</v>
      </c>
      <c r="F230" t="inlineStr">
        <is>
          <t>JÖNKÖPINGS LÄN</t>
        </is>
      </c>
      <c r="G230" t="inlineStr">
        <is>
          <t>ANEBY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46236</v>
      </c>
      <c r="F231" t="inlineStr">
        <is>
          <t>JÖNKÖPINGS LÄN</t>
        </is>
      </c>
      <c r="G231" t="inlineStr">
        <is>
          <t>ANEBY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46035</v>
      </c>
      <c r="E232" s="1" t="n">
        <v>46236</v>
      </c>
      <c r="F232" t="inlineStr">
        <is>
          <t>JÖNKÖPINGS LÄN</t>
        </is>
      </c>
      <c r="G232" t="inlineStr">
        <is>
          <t>ANEBY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46236</v>
      </c>
      <c r="F233" t="inlineStr">
        <is>
          <t>JÖNKÖPINGS LÄN</t>
        </is>
      </c>
      <c r="G233" t="inlineStr">
        <is>
          <t>ANEBY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46236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45304</v>
      </c>
      <c r="E235" s="1" t="n">
        <v>46236</v>
      </c>
      <c r="F235" t="inlineStr">
        <is>
          <t>JÖNKÖPINGS LÄN</t>
        </is>
      </c>
      <c r="G235" t="inlineStr">
        <is>
          <t>ANEBY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45343</v>
      </c>
      <c r="E236" s="1" t="n">
        <v>46236</v>
      </c>
      <c r="F236" t="inlineStr">
        <is>
          <t>JÖNKÖPINGS LÄN</t>
        </is>
      </c>
      <c r="G236" t="inlineStr">
        <is>
          <t>ANEBY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38794-2023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45161</v>
      </c>
      <c r="E237" s="1" t="n">
        <v>46236</v>
      </c>
      <c r="F237" t="inlineStr">
        <is>
          <t>JÖNKÖPINGS LÄN</t>
        </is>
      </c>
      <c r="G237" t="inlineStr">
        <is>
          <t>ANEBY</t>
        </is>
      </c>
      <c r="H237" t="inlineStr">
        <is>
          <t>Övriga Aktiebolag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46045</v>
      </c>
      <c r="E238" s="1" t="n">
        <v>46236</v>
      </c>
      <c r="F238" t="inlineStr">
        <is>
          <t>JÖNKÖPINGS LÄN</t>
        </is>
      </c>
      <c r="G238" t="inlineStr">
        <is>
          <t>ANEBY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26236-2024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45468</v>
      </c>
      <c r="E239" s="1" t="n">
        <v>46236</v>
      </c>
      <c r="F239" t="inlineStr">
        <is>
          <t>JÖNKÖPINGS LÄN</t>
        </is>
      </c>
      <c r="G239" t="inlineStr">
        <is>
          <t>ANEBY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7945-2025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45707</v>
      </c>
      <c r="E240" s="1" t="n">
        <v>46236</v>
      </c>
      <c r="F240" t="inlineStr">
        <is>
          <t>JÖNKÖPINGS LÄN</t>
        </is>
      </c>
      <c r="G240" t="inlineStr">
        <is>
          <t>ANEBY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39685-2024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45552</v>
      </c>
      <c r="E241" s="1" t="n">
        <v>46236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46236</v>
      </c>
      <c r="F242" t="inlineStr">
        <is>
          <t>JÖNKÖPINGS LÄN</t>
        </is>
      </c>
      <c r="G242" t="inlineStr">
        <is>
          <t>ANEBY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46236</v>
      </c>
      <c r="F243" t="inlineStr">
        <is>
          <t>JÖNKÖPINGS LÄN</t>
        </is>
      </c>
      <c r="G243" t="inlineStr">
        <is>
          <t>ANEBY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51160-2021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44461</v>
      </c>
      <c r="E244" s="1" t="n">
        <v>46236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33048-2023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46236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21026-2024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45439</v>
      </c>
      <c r="E246" s="1" t="n">
        <v>46236</v>
      </c>
      <c r="F246" t="inlineStr">
        <is>
          <t>JÖNKÖPINGS LÄN</t>
        </is>
      </c>
      <c r="G246" t="inlineStr">
        <is>
          <t>ANEBY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46236</v>
      </c>
      <c r="F247" t="inlineStr">
        <is>
          <t>JÖNKÖPINGS LÄN</t>
        </is>
      </c>
      <c r="G247" t="inlineStr">
        <is>
          <t>ANEBY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6827-2026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46057</v>
      </c>
      <c r="E248" s="1" t="n">
        <v>46236</v>
      </c>
      <c r="F248" t="inlineStr">
        <is>
          <t>JÖNKÖPINGS LÄN</t>
        </is>
      </c>
      <c r="G248" t="inlineStr">
        <is>
          <t>ANEBY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46236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7263-2026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46058</v>
      </c>
      <c r="E250" s="1" t="n">
        <v>46236</v>
      </c>
      <c r="F250" t="inlineStr">
        <is>
          <t>JÖNKÖPINGS LÄN</t>
        </is>
      </c>
      <c r="G250" t="inlineStr">
        <is>
          <t>ANEBY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50069-2024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45600</v>
      </c>
      <c r="E251" s="1" t="n">
        <v>46236</v>
      </c>
      <c r="F251" t="inlineStr">
        <is>
          <t>JÖNKÖPINGS LÄN</t>
        </is>
      </c>
      <c r="G251" t="inlineStr">
        <is>
          <t>ANEBY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46236</v>
      </c>
      <c r="F252" t="inlineStr">
        <is>
          <t>JÖNKÖPINGS LÄN</t>
        </is>
      </c>
      <c r="G252" t="inlineStr">
        <is>
          <t>ANEBY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46057</v>
      </c>
      <c r="E253" s="1" t="n">
        <v>46236</v>
      </c>
      <c r="F253" t="inlineStr">
        <is>
          <t>JÖNKÖPINGS LÄN</t>
        </is>
      </c>
      <c r="G253" t="inlineStr">
        <is>
          <t>ANEBY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46236</v>
      </c>
      <c r="F254" t="inlineStr">
        <is>
          <t>JÖNKÖPINGS LÄN</t>
        </is>
      </c>
      <c r="G254" t="inlineStr">
        <is>
          <t>ANEBY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16960-2023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45033</v>
      </c>
      <c r="E255" s="1" t="n">
        <v>46236</v>
      </c>
      <c r="F255" t="inlineStr">
        <is>
          <t>JÖNKÖPINGS LÄN</t>
        </is>
      </c>
      <c r="G255" t="inlineStr">
        <is>
          <t>ANEBY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46224</v>
      </c>
      <c r="E256" s="1" t="n">
        <v>46236</v>
      </c>
      <c r="F256" t="inlineStr">
        <is>
          <t>JÖNKÖPINGS LÄN</t>
        </is>
      </c>
      <c r="G256" t="inlineStr">
        <is>
          <t>ANEBY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7514-2026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46236</v>
      </c>
      <c r="F257" t="inlineStr">
        <is>
          <t>JÖNKÖPINGS LÄN</t>
        </is>
      </c>
      <c r="G257" t="inlineStr">
        <is>
          <t>ANEBY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54213-2024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45616</v>
      </c>
      <c r="E258" s="1" t="n">
        <v>46236</v>
      </c>
      <c r="F258" t="inlineStr">
        <is>
          <t>JÖNKÖPINGS LÄN</t>
        </is>
      </c>
      <c r="G258" t="inlineStr">
        <is>
          <t>ANEBY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46236</v>
      </c>
      <c r="F259" t="inlineStr">
        <is>
          <t>JÖNKÖPINGS LÄN</t>
        </is>
      </c>
      <c r="G259" t="inlineStr">
        <is>
          <t>ANEBY</t>
        </is>
      </c>
      <c r="H259" t="inlineStr">
        <is>
          <t>Övriga Aktiebolag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46236</v>
      </c>
      <c r="F260" t="inlineStr">
        <is>
          <t>JÖNKÖPINGS LÄN</t>
        </is>
      </c>
      <c r="G260" t="inlineStr">
        <is>
          <t>ANEBY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44578</v>
      </c>
      <c r="E261" s="1" t="n">
        <v>46236</v>
      </c>
      <c r="F261" t="inlineStr">
        <is>
          <t>JÖNKÖPINGS LÄN</t>
        </is>
      </c>
      <c r="G261" t="inlineStr">
        <is>
          <t>ANEBY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46236</v>
      </c>
      <c r="F262" t="inlineStr">
        <is>
          <t>JÖNKÖPINGS LÄN</t>
        </is>
      </c>
      <c r="G262" t="inlineStr">
        <is>
          <t>ANEBY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46236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46236</v>
      </c>
      <c r="F264" t="inlineStr">
        <is>
          <t>JÖNKÖPINGS LÄN</t>
        </is>
      </c>
      <c r="G264" t="inlineStr">
        <is>
          <t>ANEBY</t>
        </is>
      </c>
      <c r="H264" t="inlineStr">
        <is>
          <t>Övriga Aktiebolag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46236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46236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44051-2024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45572</v>
      </c>
      <c r="E267" s="1" t="n">
        <v>46236</v>
      </c>
      <c r="F267" t="inlineStr">
        <is>
          <t>JÖNKÖPINGS LÄN</t>
        </is>
      </c>
      <c r="G267" t="inlineStr">
        <is>
          <t>ANEBY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45124</v>
      </c>
      <c r="E268" s="1" t="n">
        <v>46236</v>
      </c>
      <c r="F268" t="inlineStr">
        <is>
          <t>JÖNKÖPINGS LÄN</t>
        </is>
      </c>
      <c r="G268" t="inlineStr">
        <is>
          <t>ANEBY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46236</v>
      </c>
      <c r="F269" t="inlineStr">
        <is>
          <t>JÖNKÖPINGS LÄN</t>
        </is>
      </c>
      <c r="G269" t="inlineStr">
        <is>
          <t>ANEBY</t>
        </is>
      </c>
      <c r="H269" t="inlineStr">
        <is>
          <t>Övriga Aktiebolag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45126</v>
      </c>
      <c r="E270" s="1" t="n">
        <v>46236</v>
      </c>
      <c r="F270" t="inlineStr">
        <is>
          <t>JÖNKÖPINGS LÄN</t>
        </is>
      </c>
      <c r="G270" t="inlineStr">
        <is>
          <t>ANEBY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12714-2023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45000</v>
      </c>
      <c r="E271" s="1" t="n">
        <v>46236</v>
      </c>
      <c r="F271" t="inlineStr">
        <is>
          <t>JÖNKÖPINGS LÄN</t>
        </is>
      </c>
      <c r="G271" t="inlineStr">
        <is>
          <t>ANEBY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46236</v>
      </c>
      <c r="F272" t="inlineStr">
        <is>
          <t>JÖNKÖPINGS LÄN</t>
        </is>
      </c>
      <c r="G272" t="inlineStr">
        <is>
          <t>ANEBY</t>
        </is>
      </c>
      <c r="I272" t="n">
        <v>17.9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45357</v>
      </c>
      <c r="E273" s="1" t="n">
        <v>46236</v>
      </c>
      <c r="F273" t="inlineStr">
        <is>
          <t>JÖNKÖPINGS LÄN</t>
        </is>
      </c>
      <c r="G273" t="inlineStr">
        <is>
          <t>ANEBY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45068</v>
      </c>
      <c r="E274" s="1" t="n">
        <v>46236</v>
      </c>
      <c r="F274" t="inlineStr">
        <is>
          <t>JÖNKÖPINGS LÄN</t>
        </is>
      </c>
      <c r="G274" t="inlineStr">
        <is>
          <t>ANEBY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44978</v>
      </c>
      <c r="E275" s="1" t="n">
        <v>46236</v>
      </c>
      <c r="F275" t="inlineStr">
        <is>
          <t>JÖNKÖPINGS LÄN</t>
        </is>
      </c>
      <c r="G275" t="inlineStr">
        <is>
          <t>ANEBY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17082-2024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45412</v>
      </c>
      <c r="E276" s="1" t="n">
        <v>46236</v>
      </c>
      <c r="F276" t="inlineStr">
        <is>
          <t>JÖNKÖPINGS LÄN</t>
        </is>
      </c>
      <c r="G276" t="inlineStr">
        <is>
          <t>ANEBY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10162-2026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46236</v>
      </c>
      <c r="F277" t="inlineStr">
        <is>
          <t>JÖNKÖPINGS LÄN</t>
        </is>
      </c>
      <c r="G277" t="inlineStr">
        <is>
          <t>ANEBY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46073</v>
      </c>
      <c r="E278" s="1" t="n">
        <v>46236</v>
      </c>
      <c r="F278" t="inlineStr">
        <is>
          <t>JÖNKÖPINGS LÄN</t>
        </is>
      </c>
      <c r="G278" t="inlineStr">
        <is>
          <t>ANEBY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24783-2023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45084</v>
      </c>
      <c r="E279" s="1" t="n">
        <v>46236</v>
      </c>
      <c r="F279" t="inlineStr">
        <is>
          <t>JÖNKÖPINGS LÄN</t>
        </is>
      </c>
      <c r="G279" t="inlineStr">
        <is>
          <t>ANEBY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45616</v>
      </c>
      <c r="E280" s="1" t="n">
        <v>46236</v>
      </c>
      <c r="F280" t="inlineStr">
        <is>
          <t>JÖNKÖPINGS LÄN</t>
        </is>
      </c>
      <c r="G280" t="inlineStr">
        <is>
          <t>ANEBY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45316</v>
      </c>
      <c r="E281" s="1" t="n">
        <v>46236</v>
      </c>
      <c r="F281" t="inlineStr">
        <is>
          <t>JÖNKÖPINGS LÄN</t>
        </is>
      </c>
      <c r="G281" t="inlineStr">
        <is>
          <t>ANEBY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52790-2024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45610</v>
      </c>
      <c r="E282" s="1" t="n">
        <v>46236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46236</v>
      </c>
      <c r="F283" t="inlineStr">
        <is>
          <t>JÖNKÖPINGS LÄN</t>
        </is>
      </c>
      <c r="G283" t="inlineStr">
        <is>
          <t>ANEBY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10155-2024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45364</v>
      </c>
      <c r="E284" s="1" t="n">
        <v>46236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10360-2024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46236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16679-2024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45408</v>
      </c>
      <c r="E286" s="1" t="n">
        <v>46236</v>
      </c>
      <c r="F286" t="inlineStr">
        <is>
          <t>JÖNKÖPINGS LÄN</t>
        </is>
      </c>
      <c r="G286" t="inlineStr">
        <is>
          <t>ANEBY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46236</v>
      </c>
      <c r="F287" t="inlineStr">
        <is>
          <t>JÖNKÖPINGS LÄN</t>
        </is>
      </c>
      <c r="G287" t="inlineStr">
        <is>
          <t>ANEBY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46236</v>
      </c>
      <c r="F288" t="inlineStr">
        <is>
          <t>JÖNKÖPINGS LÄN</t>
        </is>
      </c>
      <c r="G288" t="inlineStr">
        <is>
          <t>ANEBY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12576-2026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46090</v>
      </c>
      <c r="E289" s="1" t="n">
        <v>46236</v>
      </c>
      <c r="F289" t="inlineStr">
        <is>
          <t>JÖNKÖPINGS LÄN</t>
        </is>
      </c>
      <c r="G289" t="inlineStr">
        <is>
          <t>ANEBY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46236</v>
      </c>
      <c r="F290" t="inlineStr">
        <is>
          <t>JÖNKÖPINGS LÄN</t>
        </is>
      </c>
      <c r="G290" t="inlineStr">
        <is>
          <t>ANEBY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46236</v>
      </c>
      <c r="F291" t="inlineStr">
        <is>
          <t>JÖNKÖPINGS LÄN</t>
        </is>
      </c>
      <c r="G291" t="inlineStr">
        <is>
          <t>ANEBY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45665</v>
      </c>
      <c r="E292" s="1" t="n">
        <v>46236</v>
      </c>
      <c r="F292" t="inlineStr">
        <is>
          <t>JÖNKÖPINGS LÄN</t>
        </is>
      </c>
      <c r="G292" t="inlineStr">
        <is>
          <t>ANEBY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45077</v>
      </c>
      <c r="E293" s="1" t="n">
        <v>46236</v>
      </c>
      <c r="F293" t="inlineStr">
        <is>
          <t>JÖNKÖPINGS LÄN</t>
        </is>
      </c>
      <c r="G293" t="inlineStr">
        <is>
          <t>ANEBY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46098</v>
      </c>
      <c r="E294" s="1" t="n">
        <v>46236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20.7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37135-2024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45539</v>
      </c>
      <c r="E295" s="1" t="n">
        <v>46236</v>
      </c>
      <c r="F295" t="inlineStr">
        <is>
          <t>JÖNKÖPINGS LÄN</t>
        </is>
      </c>
      <c r="G295" t="inlineStr">
        <is>
          <t>ANEBY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21353-2022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44705</v>
      </c>
      <c r="E296" s="1" t="n">
        <v>46236</v>
      </c>
      <c r="F296" t="inlineStr">
        <is>
          <t>JÖNKÖPINGS LÄN</t>
        </is>
      </c>
      <c r="G296" t="inlineStr">
        <is>
          <t>ANEBY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35420-2023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45146</v>
      </c>
      <c r="E297" s="1" t="n">
        <v>46236</v>
      </c>
      <c r="F297" t="inlineStr">
        <is>
          <t>JÖNKÖPINGS LÄN</t>
        </is>
      </c>
      <c r="G297" t="inlineStr">
        <is>
          <t>ANEBY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17380-2022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44678</v>
      </c>
      <c r="E298" s="1" t="n">
        <v>46236</v>
      </c>
      <c r="F298" t="inlineStr">
        <is>
          <t>JÖNKÖPINGS LÄN</t>
        </is>
      </c>
      <c r="G298" t="inlineStr">
        <is>
          <t>ANEBY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46104</v>
      </c>
      <c r="E299" s="1" t="n">
        <v>46236</v>
      </c>
      <c r="F299" t="inlineStr">
        <is>
          <t>JÖNKÖPINGS LÄN</t>
        </is>
      </c>
      <c r="G299" t="inlineStr">
        <is>
          <t>ANEBY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46236</v>
      </c>
      <c r="F300" t="inlineStr">
        <is>
          <t>JÖNKÖPINGS LÄN</t>
        </is>
      </c>
      <c r="G300" t="inlineStr">
        <is>
          <t>ANEBY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46236</v>
      </c>
      <c r="F301" t="inlineStr">
        <is>
          <t>JÖNKÖPINGS LÄN</t>
        </is>
      </c>
      <c r="G301" t="inlineStr">
        <is>
          <t>ANEBY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46236</v>
      </c>
      <c r="F302" t="inlineStr">
        <is>
          <t>JÖNKÖPINGS LÄN</t>
        </is>
      </c>
      <c r="G302" t="inlineStr">
        <is>
          <t>ANEBY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46104</v>
      </c>
      <c r="E303" s="1" t="n">
        <v>46236</v>
      </c>
      <c r="F303" t="inlineStr">
        <is>
          <t>JÖNKÖPINGS LÄN</t>
        </is>
      </c>
      <c r="G303" t="inlineStr">
        <is>
          <t>ANEBY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10463-2022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46236</v>
      </c>
      <c r="F304" t="inlineStr">
        <is>
          <t>JÖNKÖPINGS LÄN</t>
        </is>
      </c>
      <c r="G304" t="inlineStr">
        <is>
          <t>ANEBY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36690-2024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45537</v>
      </c>
      <c r="E305" s="1" t="n">
        <v>46236</v>
      </c>
      <c r="F305" t="inlineStr">
        <is>
          <t>JÖNKÖPINGS LÄN</t>
        </is>
      </c>
      <c r="G305" t="inlineStr">
        <is>
          <t>ANEBY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15835-2024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45404</v>
      </c>
      <c r="E306" s="1" t="n">
        <v>46236</v>
      </c>
      <c r="F306" t="inlineStr">
        <is>
          <t>JÖNKÖPINGS LÄN</t>
        </is>
      </c>
      <c r="G306" t="inlineStr">
        <is>
          <t>ANEBY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45357</v>
      </c>
      <c r="E307" s="1" t="n">
        <v>46236</v>
      </c>
      <c r="F307" t="inlineStr">
        <is>
          <t>JÖNKÖPINGS LÄN</t>
        </is>
      </c>
      <c r="G307" t="inlineStr">
        <is>
          <t>ANEBY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8021-2025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45707</v>
      </c>
      <c r="E308" s="1" t="n">
        <v>46236</v>
      </c>
      <c r="F308" t="inlineStr">
        <is>
          <t>JÖNKÖPINGS LÄN</t>
        </is>
      </c>
      <c r="G308" t="inlineStr">
        <is>
          <t>ANEBY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20568-2025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45775</v>
      </c>
      <c r="E309" s="1" t="n">
        <v>46236</v>
      </c>
      <c r="F309" t="inlineStr">
        <is>
          <t>JÖNKÖPINGS LÄN</t>
        </is>
      </c>
      <c r="G309" t="inlineStr">
        <is>
          <t>ANEBY</t>
        </is>
      </c>
      <c r="H309" t="inlineStr">
        <is>
          <t>Kyrkan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44700</v>
      </c>
      <c r="E310" s="1" t="n">
        <v>46236</v>
      </c>
      <c r="F310" t="inlineStr">
        <is>
          <t>JÖNKÖPINGS LÄN</t>
        </is>
      </c>
      <c r="G310" t="inlineStr">
        <is>
          <t>ANEBY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44671</v>
      </c>
      <c r="E311" s="1" t="n">
        <v>46236</v>
      </c>
      <c r="F311" t="inlineStr">
        <is>
          <t>JÖNKÖPINGS LÄN</t>
        </is>
      </c>
      <c r="G311" t="inlineStr">
        <is>
          <t>ANEBY</t>
        </is>
      </c>
      <c r="H311" t="inlineStr">
        <is>
          <t>Kyrkan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26769-2022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46236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46236</v>
      </c>
      <c r="F313" t="inlineStr">
        <is>
          <t>JÖNKÖPINGS LÄN</t>
        </is>
      </c>
      <c r="G313" t="inlineStr">
        <is>
          <t>ANEBY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23557-2022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44721</v>
      </c>
      <c r="E314" s="1" t="n">
        <v>46236</v>
      </c>
      <c r="F314" t="inlineStr">
        <is>
          <t>JÖNKÖPINGS LÄN</t>
        </is>
      </c>
      <c r="G314" t="inlineStr">
        <is>
          <t>ANEBY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46125</v>
      </c>
      <c r="E315" s="1" t="n">
        <v>46236</v>
      </c>
      <c r="F315" t="inlineStr">
        <is>
          <t>JÖNKÖPINGS LÄN</t>
        </is>
      </c>
      <c r="G315" t="inlineStr">
        <is>
          <t>ANEBY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46236</v>
      </c>
      <c r="F316" t="inlineStr">
        <is>
          <t>JÖNKÖPINGS LÄN</t>
        </is>
      </c>
      <c r="G316" t="inlineStr">
        <is>
          <t>ANEBY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45001</v>
      </c>
      <c r="E317" s="1" t="n">
        <v>46236</v>
      </c>
      <c r="F317" t="inlineStr">
        <is>
          <t>JÖNKÖPINGS LÄN</t>
        </is>
      </c>
      <c r="G317" t="inlineStr">
        <is>
          <t>ANEBY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46236</v>
      </c>
      <c r="F318" t="inlineStr">
        <is>
          <t>JÖNKÖPINGS LÄN</t>
        </is>
      </c>
      <c r="G318" t="inlineStr">
        <is>
          <t>ANEBY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45762</v>
      </c>
      <c r="E319" s="1" t="n">
        <v>46236</v>
      </c>
      <c r="F319" t="inlineStr">
        <is>
          <t>JÖNKÖPINGS LÄN</t>
        </is>
      </c>
      <c r="G319" t="inlineStr">
        <is>
          <t>ANEBY</t>
        </is>
      </c>
      <c r="H319" t="inlineStr">
        <is>
          <t>Övriga Aktiebolag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46236</v>
      </c>
      <c r="F320" t="inlineStr">
        <is>
          <t>JÖNKÖPINGS LÄN</t>
        </is>
      </c>
      <c r="G320" t="inlineStr">
        <is>
          <t>ANEBY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20569-2025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45775</v>
      </c>
      <c r="E321" s="1" t="n">
        <v>46236</v>
      </c>
      <c r="F321" t="inlineStr">
        <is>
          <t>JÖNKÖPINGS LÄN</t>
        </is>
      </c>
      <c r="G321" t="inlineStr">
        <is>
          <t>ANEBY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701-2024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45300</v>
      </c>
      <c r="E322" s="1" t="n">
        <v>46236</v>
      </c>
      <c r="F322" t="inlineStr">
        <is>
          <t>JÖNKÖPINGS LÄN</t>
        </is>
      </c>
      <c r="G322" t="inlineStr">
        <is>
          <t>ANEBY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19362-2025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45769</v>
      </c>
      <c r="E323" s="1" t="n">
        <v>46236</v>
      </c>
      <c r="F323" t="inlineStr">
        <is>
          <t>JÖNKÖPINGS LÄN</t>
        </is>
      </c>
      <c r="G323" t="inlineStr">
        <is>
          <t>ANEBY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45304</v>
      </c>
      <c r="E324" s="1" t="n">
        <v>46236</v>
      </c>
      <c r="F324" t="inlineStr">
        <is>
          <t>JÖNKÖPINGS LÄN</t>
        </is>
      </c>
      <c r="G324" t="inlineStr">
        <is>
          <t>ANEBY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46236</v>
      </c>
      <c r="F325" t="inlineStr">
        <is>
          <t>JÖNKÖPINGS LÄN</t>
        </is>
      </c>
      <c r="G325" t="inlineStr">
        <is>
          <t>ANEBY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45763</v>
      </c>
      <c r="E326" s="1" t="n">
        <v>46236</v>
      </c>
      <c r="F326" t="inlineStr">
        <is>
          <t>JÖNKÖPINGS LÄN</t>
        </is>
      </c>
      <c r="G326" t="inlineStr">
        <is>
          <t>ANEBY</t>
        </is>
      </c>
      <c r="H326" t="inlineStr">
        <is>
          <t>Övriga Aktiebolag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32768-2025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45839</v>
      </c>
      <c r="E327" s="1" t="n">
        <v>46236</v>
      </c>
      <c r="F327" t="inlineStr">
        <is>
          <t>JÖNKÖPINGS LÄN</t>
        </is>
      </c>
      <c r="G327" t="inlineStr">
        <is>
          <t>ANEBY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46236</v>
      </c>
      <c r="F328" t="inlineStr">
        <is>
          <t>JÖNKÖPINGS LÄN</t>
        </is>
      </c>
      <c r="G328" t="inlineStr">
        <is>
          <t>ANEBY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44847</v>
      </c>
      <c r="E329" s="1" t="n">
        <v>46236</v>
      </c>
      <c r="F329" t="inlineStr">
        <is>
          <t>JÖNKÖPINGS LÄN</t>
        </is>
      </c>
      <c r="G329" t="inlineStr">
        <is>
          <t>ANEBY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45594</v>
      </c>
      <c r="E330" s="1" t="n">
        <v>46236</v>
      </c>
      <c r="F330" t="inlineStr">
        <is>
          <t>JÖNKÖPINGS LÄN</t>
        </is>
      </c>
      <c r="G330" t="inlineStr">
        <is>
          <t>ANEBY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47118-2023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45201</v>
      </c>
      <c r="E331" s="1" t="n">
        <v>46236</v>
      </c>
      <c r="F331" t="inlineStr">
        <is>
          <t>JÖNKÖPINGS LÄN</t>
        </is>
      </c>
      <c r="G331" t="inlineStr">
        <is>
          <t>ANEBY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14901-2024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45398</v>
      </c>
      <c r="E332" s="1" t="n">
        <v>46236</v>
      </c>
      <c r="F332" t="inlineStr">
        <is>
          <t>JÖNKÖPINGS LÄN</t>
        </is>
      </c>
      <c r="G332" t="inlineStr">
        <is>
          <t>ANEBY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57170-2021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44482</v>
      </c>
      <c r="E333" s="1" t="n">
        <v>46236</v>
      </c>
      <c r="F333" t="inlineStr">
        <is>
          <t>JÖNKÖPINGS LÄN</t>
        </is>
      </c>
      <c r="G333" t="inlineStr">
        <is>
          <t>ANEBY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14323-2024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45393</v>
      </c>
      <c r="E334" s="1" t="n">
        <v>46236</v>
      </c>
      <c r="F334" t="inlineStr">
        <is>
          <t>JÖNKÖPINGS LÄN</t>
        </is>
      </c>
      <c r="G334" t="inlineStr">
        <is>
          <t>ANEBY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46236</v>
      </c>
      <c r="F335" t="inlineStr">
        <is>
          <t>JÖNKÖPINGS LÄN</t>
        </is>
      </c>
      <c r="G335" t="inlineStr">
        <is>
          <t>ANEBY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10357-2024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45365</v>
      </c>
      <c r="E336" s="1" t="n">
        <v>46236</v>
      </c>
      <c r="F336" t="inlineStr">
        <is>
          <t>JÖNKÖPINGS LÄN</t>
        </is>
      </c>
      <c r="G336" t="inlineStr">
        <is>
          <t>ANEBY</t>
        </is>
      </c>
      <c r="H336" t="inlineStr">
        <is>
          <t>Sveaskog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45574</v>
      </c>
      <c r="E337" s="1" t="n">
        <v>46236</v>
      </c>
      <c r="F337" t="inlineStr">
        <is>
          <t>JÖNKÖPINGS LÄN</t>
        </is>
      </c>
      <c r="G337" t="inlineStr">
        <is>
          <t>ANEBY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45796</v>
      </c>
      <c r="E338" s="1" t="n">
        <v>46236</v>
      </c>
      <c r="F338" t="inlineStr">
        <is>
          <t>JÖNKÖPINGS LÄN</t>
        </is>
      </c>
      <c r="G338" t="inlineStr">
        <is>
          <t>ANEBY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45531</v>
      </c>
      <c r="E339" s="1" t="n">
        <v>46236</v>
      </c>
      <c r="F339" t="inlineStr">
        <is>
          <t>JÖNKÖPINGS LÄN</t>
        </is>
      </c>
      <c r="G339" t="inlineStr">
        <is>
          <t>ANEBY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46236</v>
      </c>
      <c r="F340" t="inlineStr">
        <is>
          <t>JÖNKÖPINGS LÄN</t>
        </is>
      </c>
      <c r="G340" t="inlineStr">
        <is>
          <t>ANEBY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45819</v>
      </c>
      <c r="E341" s="1" t="n">
        <v>46236</v>
      </c>
      <c r="F341" t="inlineStr">
        <is>
          <t>JÖNKÖPINGS LÄN</t>
        </is>
      </c>
      <c r="G341" t="inlineStr">
        <is>
          <t>ANEBY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46236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16.8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46236</v>
      </c>
      <c r="F343" t="inlineStr">
        <is>
          <t>JÖNKÖPINGS LÄN</t>
        </is>
      </c>
      <c r="G343" t="inlineStr">
        <is>
          <t>ANEBY</t>
        </is>
      </c>
      <c r="H343" t="inlineStr">
        <is>
          <t>Övriga Aktiebolag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32554-2025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46236</v>
      </c>
      <c r="F344" t="inlineStr">
        <is>
          <t>JÖNKÖPINGS LÄN</t>
        </is>
      </c>
      <c r="G344" t="inlineStr">
        <is>
          <t>ANEBY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45688</v>
      </c>
      <c r="E345" s="1" t="n">
        <v>46236</v>
      </c>
      <c r="F345" t="inlineStr">
        <is>
          <t>JÖNKÖPINGS LÄN</t>
        </is>
      </c>
      <c r="G345" t="inlineStr">
        <is>
          <t>ANEBY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805-2022</t>
        </is>
      </c>
      <c r="B346" t="inlineStr">
        <is>
          <t>samrådsanmälan</t>
        </is>
      </c>
      <c r="C346" t="inlineStr">
        <is>
          <t>Skogsbilväg</t>
        </is>
      </c>
      <c r="D346" s="1" t="n">
        <v>44603</v>
      </c>
      <c r="E346" s="1" t="n">
        <v>46236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46236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46236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46236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46236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46236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46236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46236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46236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6634-2022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46236</v>
      </c>
      <c r="F355" t="inlineStr">
        <is>
          <t>JÖNKÖPINGS LÄN</t>
        </is>
      </c>
      <c r="G355" t="inlineStr">
        <is>
          <t>ANEBY</t>
        </is>
      </c>
      <c r="I355" t="n">
        <v>34.3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6623-2022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46236</v>
      </c>
      <c r="F356" t="inlineStr">
        <is>
          <t>JÖNKÖPINGS LÄN</t>
        </is>
      </c>
      <c r="G356" t="inlineStr">
        <is>
          <t>ANEBY</t>
        </is>
      </c>
      <c r="I356" t="n">
        <v>13.8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469-2025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45702</v>
      </c>
      <c r="E357" s="1" t="n">
        <v>46236</v>
      </c>
      <c r="F357" t="inlineStr">
        <is>
          <t>JÖNKÖPINGS LÄN</t>
        </is>
      </c>
      <c r="G357" t="inlineStr">
        <is>
          <t>ANEBY</t>
        </is>
      </c>
      <c r="I357" t="n">
        <v>22.8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20-2026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46029</v>
      </c>
      <c r="E358" s="1" t="n">
        <v>46236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1152-2026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46135</v>
      </c>
      <c r="E359" s="1" t="n">
        <v>46236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2026-08-02T01:55:57Z</dcterms:created>
  <dcterms:modified xmlns:dcterms="http://purl.org/dc/terms/" xmlns:xsi="http://www.w3.org/2001/XMLSchema-instance" xsi:type="dcterms:W3CDTF">2026-08-02T01:55:58Z</dcterms:modified>
</cp:coreProperties>
</file>