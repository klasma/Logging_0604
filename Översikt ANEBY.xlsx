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46241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46241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46241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46241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46241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46241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46241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46241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46241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46241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46241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46241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18417-2026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46241</v>
      </c>
      <c r="F14" t="inlineStr">
        <is>
          <t>JÖNKÖPINGS LÄN</t>
        </is>
      </c>
      <c r="G14" t="inlineStr">
        <is>
          <t>ANEBY</t>
        </is>
      </c>
      <c r="I14" t="n">
        <v>1.5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Slåttergubbe
Jungfrulin
Ängsstarr
Fläcknycklar</t>
        </is>
      </c>
      <c r="W14">
        <f>HYPERLINK("https://klasma.github.io/Logging_0604/artfynd/A 18417-2026 artfynd.xlsx", "A 18417-2026")</f>
        <v/>
      </c>
      <c r="X14">
        <f>HYPERLINK("https://klasma.github.io/Logging_0604/kartor/A 18417-2026 karta.png", "A 18417-2026")</f>
        <v/>
      </c>
      <c r="Y14">
        <f>HYPERLINK("https://klasma.github.io/Logging_0604/kartor_geotiff/A 18417-2026 georefererad karta.tif", "A 18417-2026")</f>
        <v/>
      </c>
      <c r="AA14">
        <f>HYPERLINK("https://klasma.github.io/Logging_0604/klagomål/A 18417-2026 FSC-klagomål.docx", "A 18417-2026")</f>
        <v/>
      </c>
      <c r="AB14">
        <f>HYPERLINK("https://klasma.github.io/Logging_0604/klagomålsmail/A 18417-2026 FSC-klagomål mail.docx", "A 18417-2026")</f>
        <v/>
      </c>
      <c r="AC14">
        <f>HYPERLINK("https://klasma.github.io/Logging_0604/tillsyn/A 18417-2026 tillsynsbegäran.docx", "A 18417-2026")</f>
        <v/>
      </c>
      <c r="AD14">
        <f>HYPERLINK("https://klasma.github.io/Logging_0604/tillsynsmail/A 18417-2026 tillsynsbegäran mail.docx", "A 18417-2026")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46241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46241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46241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46241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46241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46241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46241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46241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46241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46241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46241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46241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46241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46241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46241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46241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46241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412-2022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46241</v>
      </c>
      <c r="F32" t="inlineStr">
        <is>
          <t>JÖNKÖPINGS LÄN</t>
        </is>
      </c>
      <c r="G32" t="inlineStr">
        <is>
          <t>ANEBY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HYPERLINK("https://klasma.github.io/Logging_0604/artfynd/A 412-2022 artfynd.xlsx", "A 412-2022")</f>
        <v/>
      </c>
      <c r="X32">
        <f>HYPERLINK("https://klasma.github.io/Logging_0604/kartor/A 412-2022 karta.png", "A 412-2022")</f>
        <v/>
      </c>
      <c r="Y32">
        <f>HYPERLINK("https://klasma.github.io/Logging_0604/kartor_geotiff/A 412-2022 georefererad karta.tif", "A 412-2022")</f>
        <v/>
      </c>
      <c r="AA32">
        <f>HYPERLINK("https://klasma.github.io/Logging_0604/klagomål/A 412-2022 FSC-klagomål.docx", "A 412-2022")</f>
        <v/>
      </c>
      <c r="AB32">
        <f>HYPERLINK("https://klasma.github.io/Logging_0604/klagomålsmail/A 412-2022 FSC-klagomål mail.docx", "A 412-2022")</f>
        <v/>
      </c>
      <c r="AC32">
        <f>HYPERLINK("https://klasma.github.io/Logging_0604/tillsyn/A 412-2022 tillsynsbegäran.docx", "A 412-2022")</f>
        <v/>
      </c>
      <c r="AD32">
        <f>HYPERLINK("https://klasma.github.io/Logging_0604/tillsynsmail/A 412-2022 tillsynsbegäran mail.docx", "A 412-2022")</f>
        <v/>
      </c>
    </row>
    <row r="33" ht="15" customHeight="1">
      <c r="A33" t="inlineStr">
        <is>
          <t>A 53251-2023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46241</v>
      </c>
      <c r="F33" t="inlineStr">
        <is>
          <t>JÖNKÖPINGS LÄN</t>
        </is>
      </c>
      <c r="G33" t="inlineStr">
        <is>
          <t>ANEBY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HYPERLINK("https://klasma.github.io/Logging_0604/artfynd/A 53251-2023 artfynd.xlsx", "A 53251-2023")</f>
        <v/>
      </c>
      <c r="X33">
        <f>HYPERLINK("https://klasma.github.io/Logging_0604/kartor/A 53251-2023 karta.png", "A 53251-2023")</f>
        <v/>
      </c>
      <c r="Y33">
        <f>HYPERLINK("https://klasma.github.io/Logging_0604/kartor_geotiff/A 53251-2023 georefererad karta.tif", "A 53251-2023")</f>
        <v/>
      </c>
      <c r="AA33">
        <f>HYPERLINK("https://klasma.github.io/Logging_0604/klagomål/A 53251-2023 FSC-klagomål.docx", "A 53251-2023")</f>
        <v/>
      </c>
      <c r="AB33">
        <f>HYPERLINK("https://klasma.github.io/Logging_0604/klagomålsmail/A 53251-2023 FSC-klagomål mail.docx", "A 53251-2023")</f>
        <v/>
      </c>
      <c r="AC33">
        <f>HYPERLINK("https://klasma.github.io/Logging_0604/tillsyn/A 53251-2023 tillsynsbegäran.docx", "A 53251-2023")</f>
        <v/>
      </c>
      <c r="AD33">
        <f>HYPERLINK("https://klasma.github.io/Logging_0604/tillsynsmail/A 53251-2023 tillsynsbegäran mail.docx", "A 53251-2023")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46241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46241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26784-2022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46241</v>
      </c>
      <c r="F36" t="inlineStr">
        <is>
          <t>JÖNKÖPINGS LÄN</t>
        </is>
      </c>
      <c r="G36" t="inlineStr">
        <is>
          <t>ANEBY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Vårstarr</t>
        </is>
      </c>
      <c r="W36">
        <f>HYPERLINK("https://klasma.github.io/Logging_0604/artfynd/A 26784-2022 artfynd.xlsx", "A 26784-2022")</f>
        <v/>
      </c>
      <c r="X36">
        <f>HYPERLINK("https://klasma.github.io/Logging_0604/kartor/A 26784-2022 karta.png", "A 26784-2022")</f>
        <v/>
      </c>
      <c r="Y36">
        <f>HYPERLINK("https://klasma.github.io/Logging_0604/kartor_geotiff/A 26784-2022 georefererad karta.tif", "A 26784-2022")</f>
        <v/>
      </c>
      <c r="AA36">
        <f>HYPERLINK("https://klasma.github.io/Logging_0604/klagomål/A 26784-2022 FSC-klagomål.docx", "A 26784-2022")</f>
        <v/>
      </c>
      <c r="AB36">
        <f>HYPERLINK("https://klasma.github.io/Logging_0604/klagomålsmail/A 26784-2022 FSC-klagomål mail.docx", "A 26784-2022")</f>
        <v/>
      </c>
      <c r="AC36">
        <f>HYPERLINK("https://klasma.github.io/Logging_0604/tillsyn/A 26784-2022 tillsynsbegäran.docx", "A 26784-2022")</f>
        <v/>
      </c>
      <c r="AD36">
        <f>HYPERLINK("https://klasma.github.io/Logging_0604/tillsynsmail/A 26784-2022 tillsynsbegäran mail.docx", "A 26784-2022")</f>
        <v/>
      </c>
    </row>
    <row r="37" ht="15" customHeight="1">
      <c r="A37" t="inlineStr">
        <is>
          <t>A 25891-2026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46241</v>
      </c>
      <c r="F37" t="inlineStr">
        <is>
          <t>JÖNKÖPINGS LÄN</t>
        </is>
      </c>
      <c r="G37" t="inlineStr">
        <is>
          <t>ANEBY</t>
        </is>
      </c>
      <c r="I37" t="n">
        <v>5.6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Stor ängsmaskros</t>
        </is>
      </c>
      <c r="W37">
        <f>HYPERLINK("https://klasma.github.io/Logging_0604/artfynd/A 25891-2026 artfynd.xlsx", "A 25891-2026")</f>
        <v/>
      </c>
      <c r="X37">
        <f>HYPERLINK("https://klasma.github.io/Logging_0604/kartor/A 25891-2026 karta.png", "A 25891-2026")</f>
        <v/>
      </c>
      <c r="Y37">
        <f>HYPERLINK("https://klasma.github.io/Logging_0604/kartor_geotiff/A 25891-2026 georefererad karta.tif", "A 25891-2026")</f>
        <v/>
      </c>
      <c r="AA37">
        <f>HYPERLINK("https://klasma.github.io/Logging_0604/klagomål/A 25891-2026 FSC-klagomål.docx", "A 25891-2026")</f>
        <v/>
      </c>
      <c r="AB37">
        <f>HYPERLINK("https://klasma.github.io/Logging_0604/klagomålsmail/A 25891-2026 FSC-klagomål mail.docx", "A 25891-2026")</f>
        <v/>
      </c>
      <c r="AC37">
        <f>HYPERLINK("https://klasma.github.io/Logging_0604/tillsyn/A 25891-2026 tillsynsbegäran.docx", "A 25891-2026")</f>
        <v/>
      </c>
      <c r="AD37">
        <f>HYPERLINK("https://klasma.github.io/Logging_0604/tillsynsmail/A 25891-2026 tillsynsbegäran mail.docx", "A 25891-2026")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46241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0</v>
      </c>
      <c r="V38" s="2" t="inlineStr">
        <is>
          <t>Grönvit nattviol</t>
        </is>
      </c>
      <c r="W38">
        <f>HYPERLINK("https://klasma.github.io/Logging_0604/artfynd/A 24820-2026 artfynd.xlsx", "A 24820-2026")</f>
        <v/>
      </c>
      <c r="X38">
        <f>HYPERLINK("https://klasma.github.io/Logging_0604/kartor/A 24820-2026 karta.png", "A 24820-2026")</f>
        <v/>
      </c>
      <c r="Y38">
        <f>HYPERLINK("https://klasma.github.io/Logging_0604/kartor_geotiff/A 24820-2026 georefererad karta.tif", "A 24820-2026")</f>
        <v/>
      </c>
      <c r="AA38">
        <f>HYPERLINK("https://klasma.github.io/Logging_0604/klagomål/A 24820-2026 FSC-klagomål.docx", "A 24820-2026")</f>
        <v/>
      </c>
      <c r="AB38">
        <f>HYPERLINK("https://klasma.github.io/Logging_0604/klagomålsmail/A 24820-2026 FSC-klagomål mail.docx", "A 24820-2026")</f>
        <v/>
      </c>
      <c r="AC38">
        <f>HYPERLINK("https://klasma.github.io/Logging_0604/tillsyn/A 24820-2026 tillsynsbegäran.docx", "A 24820-2026")</f>
        <v/>
      </c>
      <c r="AD38">
        <f>HYPERLINK("https://klasma.github.io/Logging_0604/tillsynsmail/A 24820-2026 tillsynsbegäran mail.docx", "A 24820-2026")</f>
        <v/>
      </c>
    </row>
    <row r="39" ht="15" customHeight="1">
      <c r="A39" t="inlineStr">
        <is>
          <t>A 10010-2023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44985</v>
      </c>
      <c r="E39" s="1" t="n">
        <v>46241</v>
      </c>
      <c r="F39" t="inlineStr">
        <is>
          <t>JÖNKÖPINGS LÄN</t>
        </is>
      </c>
      <c r="G39" t="inlineStr">
        <is>
          <t>ANEBY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HYPERLINK("https://klasma.github.io/Logging_0604/artfynd/A 10010-2023 artfynd.xlsx", "A 10010-2023")</f>
        <v/>
      </c>
      <c r="X39">
        <f>HYPERLINK("https://klasma.github.io/Logging_0604/kartor/A 10010-2023 karta.png", "A 10010-2023")</f>
        <v/>
      </c>
      <c r="Y39">
        <f>HYPERLINK("https://klasma.github.io/Logging_0604/kartor_geotiff/A 10010-2023 georefererad karta.tif", "A 10010-2023")</f>
        <v/>
      </c>
      <c r="AA39">
        <f>HYPERLINK("https://klasma.github.io/Logging_0604/klagomål/A 10010-2023 FSC-klagomål.docx", "A 10010-2023")</f>
        <v/>
      </c>
      <c r="AB39">
        <f>HYPERLINK("https://klasma.github.io/Logging_0604/klagomålsmail/A 10010-2023 FSC-klagomål mail.docx", "A 10010-2023")</f>
        <v/>
      </c>
      <c r="AC39">
        <f>HYPERLINK("https://klasma.github.io/Logging_0604/tillsyn/A 10010-2023 tillsynsbegäran.docx", "A 10010-2023")</f>
        <v/>
      </c>
      <c r="AD39">
        <f>HYPERLINK("https://klasma.github.io/Logging_0604/tillsynsmail/A 10010-2023 tillsynsbegäran mail.docx", "A 10010-2023")</f>
        <v/>
      </c>
    </row>
    <row r="40" ht="15" customHeight="1">
      <c r="A40" t="inlineStr">
        <is>
          <t>A 8117-2025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45707</v>
      </c>
      <c r="E40" s="1" t="n">
        <v>46241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Enkelbeckasin</t>
        </is>
      </c>
      <c r="W40">
        <f>HYPERLINK("https://klasma.github.io/Logging_0604/artfynd/A 8117-2025 artfynd.xlsx", "A 8117-2025")</f>
        <v/>
      </c>
      <c r="X40">
        <f>HYPERLINK("https://klasma.github.io/Logging_0604/kartor/A 8117-2025 karta.png", "A 8117-2025")</f>
        <v/>
      </c>
      <c r="Y40">
        <f>HYPERLINK("https://klasma.github.io/Logging_0604/kartor_geotiff/A 8117-2025 georefererad karta.tif", "A 8117-2025")</f>
        <v/>
      </c>
      <c r="AA40">
        <f>HYPERLINK("https://klasma.github.io/Logging_0604/klagomål/A 8117-2025 FSC-klagomål.docx", "A 8117-2025")</f>
        <v/>
      </c>
      <c r="AB40">
        <f>HYPERLINK("https://klasma.github.io/Logging_0604/klagomålsmail/A 8117-2025 FSC-klagomål mail.docx", "A 8117-2025")</f>
        <v/>
      </c>
      <c r="AC40">
        <f>HYPERLINK("https://klasma.github.io/Logging_0604/tillsyn/A 8117-2025 tillsynsbegäran.docx", "A 8117-2025")</f>
        <v/>
      </c>
      <c r="AD40">
        <f>HYPERLINK("https://klasma.github.io/Logging_0604/tillsynsmail/A 8117-2025 tillsynsbegäran mail.docx", "A 8117-2025")</f>
        <v/>
      </c>
      <c r="AE40">
        <f>HYPERLINK("https://klasma.github.io/Logging_0604/fåglar/A 8117-2025 prioriterade fågelarter.docx", "A 8117-2025")</f>
        <v/>
      </c>
    </row>
    <row r="41" ht="15" customHeight="1">
      <c r="A41" t="inlineStr">
        <is>
          <t>A 25875-2024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45467</v>
      </c>
      <c r="E41" s="1" t="n">
        <v>46241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HYPERLINK("https://klasma.github.io/Logging_0604/artfynd/A 25875-2024 artfynd.xlsx", "A 25875-2024")</f>
        <v/>
      </c>
      <c r="X41">
        <f>HYPERLINK("https://klasma.github.io/Logging_0604/kartor/A 25875-2024 karta.png", "A 25875-2024")</f>
        <v/>
      </c>
      <c r="Y41">
        <f>HYPERLINK("https://klasma.github.io/Logging_0604/kartor_geotiff/A 25875-2024 georefererad karta.tif", "A 25875-2024")</f>
        <v/>
      </c>
      <c r="AA41">
        <f>HYPERLINK("https://klasma.github.io/Logging_0604/klagomål/A 25875-2024 FSC-klagomål.docx", "A 25875-2024")</f>
        <v/>
      </c>
      <c r="AB41">
        <f>HYPERLINK("https://klasma.github.io/Logging_0604/klagomålsmail/A 25875-2024 FSC-klagomål mail.docx", "A 25875-2024")</f>
        <v/>
      </c>
      <c r="AC41">
        <f>HYPERLINK("https://klasma.github.io/Logging_0604/tillsyn/A 25875-2024 tillsynsbegäran.docx", "A 25875-2024")</f>
        <v/>
      </c>
      <c r="AD41">
        <f>HYPERLINK("https://klasma.github.io/Logging_0604/tillsynsmail/A 25875-2024 tillsynsbegäran mail.docx", "A 25875-2024")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46241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46241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46241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46241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46241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46241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46241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46241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46241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46241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46241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46241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46241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46241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46241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46241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46241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46241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46241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46241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46241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46241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46241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46241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46241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46241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46241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46241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46241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46241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46241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46241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46241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46241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46241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45749</v>
      </c>
      <c r="E77" s="1" t="n">
        <v>46241</v>
      </c>
      <c r="F77" t="inlineStr">
        <is>
          <t>JÖNKÖPINGS LÄN</t>
        </is>
      </c>
      <c r="G77" t="inlineStr">
        <is>
          <t>ANEBY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45806-2023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46241</v>
      </c>
      <c r="F78" t="inlineStr">
        <is>
          <t>JÖNKÖPINGS LÄN</t>
        </is>
      </c>
      <c r="G78" t="inlineStr">
        <is>
          <t>ANEBY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46241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46241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46241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46241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46241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45250</v>
      </c>
      <c r="E84" s="1" t="n">
        <v>46241</v>
      </c>
      <c r="F84" t="inlineStr">
        <is>
          <t>JÖNKÖPINGS LÄN</t>
        </is>
      </c>
      <c r="G84" t="inlineStr">
        <is>
          <t>ANEBY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46241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46241</v>
      </c>
      <c r="F86" t="inlineStr">
        <is>
          <t>JÖNKÖPINGS LÄN</t>
        </is>
      </c>
      <c r="G86" t="inlineStr">
        <is>
          <t>ANEBY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45393</v>
      </c>
      <c r="E87" s="1" t="n">
        <v>46241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46241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46241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46241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45454</v>
      </c>
      <c r="E91" s="1" t="n">
        <v>46241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46241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46241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46241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46241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46241</v>
      </c>
      <c r="F96" t="inlineStr">
        <is>
          <t>JÖNKÖPINGS LÄN</t>
        </is>
      </c>
      <c r="G96" t="inlineStr">
        <is>
          <t>ANEBY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45467</v>
      </c>
      <c r="E97" s="1" t="n">
        <v>46241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  <c r="Z97">
        <f>HYPERLINK("https://klasma.github.io/Logging_0604/knärot/A 25963-2024 karta knärot.png", "A 25963-2024")</f>
        <v/>
      </c>
      <c r="AA97">
        <f>HYPERLINK("https://klasma.github.io/Logging_0604/klagomål/A 25963-2024 FSC-klagomål.docx", "A 25963-2024")</f>
        <v/>
      </c>
      <c r="AB97">
        <f>HYPERLINK("https://klasma.github.io/Logging_0604/klagomålsmail/A 25963-2024 FSC-klagomål mail.docx", "A 25963-2024")</f>
        <v/>
      </c>
      <c r="AC97">
        <f>HYPERLINK("https://klasma.github.io/Logging_0604/tillsyn/A 25963-2024 tillsynsbegäran.docx", "A 25963-2024")</f>
        <v/>
      </c>
      <c r="AD97">
        <f>HYPERLINK("https://klasma.github.io/Logging_0604/tillsynsmail/A 25963-2024 tillsynsbegäran mail.docx", "A 25963-2024")</f>
        <v/>
      </c>
    </row>
    <row r="98" ht="15" customHeight="1">
      <c r="A98" t="inlineStr">
        <is>
          <t>A 37343-2023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45156</v>
      </c>
      <c r="E98" s="1" t="n">
        <v>46241</v>
      </c>
      <c r="F98" t="inlineStr">
        <is>
          <t>JÖNKÖPINGS LÄN</t>
        </is>
      </c>
      <c r="G98" t="inlineStr">
        <is>
          <t>ANEBY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46241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27714-2024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45475</v>
      </c>
      <c r="E100" s="1" t="n">
        <v>46241</v>
      </c>
      <c r="F100" t="inlineStr">
        <is>
          <t>JÖNKÖPINGS LÄN</t>
        </is>
      </c>
      <c r="G100" t="inlineStr">
        <is>
          <t>ANEBY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46241</v>
      </c>
      <c r="F101" t="inlineStr">
        <is>
          <t>JÖNKÖPINGS LÄN</t>
        </is>
      </c>
      <c r="G101" t="inlineStr">
        <is>
          <t>ANEBY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44859</v>
      </c>
      <c r="E102" s="1" t="n">
        <v>46241</v>
      </c>
      <c r="F102" t="inlineStr">
        <is>
          <t>JÖNKÖPINGS LÄN</t>
        </is>
      </c>
      <c r="G102" t="inlineStr">
        <is>
          <t>ANEBY</t>
        </is>
      </c>
      <c r="H102" t="inlineStr">
        <is>
          <t>Övriga Aktiebolag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12477-2023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44999</v>
      </c>
      <c r="E103" s="1" t="n">
        <v>46241</v>
      </c>
      <c r="F103" t="inlineStr">
        <is>
          <t>JÖNKÖPINGS LÄN</t>
        </is>
      </c>
      <c r="G103" t="inlineStr">
        <is>
          <t>ANEBY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46241</v>
      </c>
      <c r="F104" t="inlineStr">
        <is>
          <t>JÖNKÖPINGS LÄN</t>
        </is>
      </c>
      <c r="G104" t="inlineStr">
        <is>
          <t>ANEBY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46241</v>
      </c>
      <c r="F105" t="inlineStr">
        <is>
          <t>JÖNKÖPINGS LÄN</t>
        </is>
      </c>
      <c r="G105" t="inlineStr">
        <is>
          <t>ANEBY</t>
        </is>
      </c>
      <c r="H105" t="inlineStr">
        <is>
          <t>Sveaskog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46241</v>
      </c>
      <c r="F106" t="inlineStr">
        <is>
          <t>JÖNKÖPINGS LÄN</t>
        </is>
      </c>
      <c r="G106" t="inlineStr">
        <is>
          <t>ANEBY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45586</v>
      </c>
      <c r="E107" s="1" t="n">
        <v>46241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46241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46241</v>
      </c>
      <c r="F109" t="inlineStr">
        <is>
          <t>JÖNKÖPINGS LÄN</t>
        </is>
      </c>
      <c r="G109" t="inlineStr">
        <is>
          <t>ANEBY</t>
        </is>
      </c>
      <c r="H109" t="inlineStr">
        <is>
          <t>Övriga Aktiebolag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46241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46241</v>
      </c>
      <c r="F111" t="inlineStr">
        <is>
          <t>JÖNKÖPINGS LÄN</t>
        </is>
      </c>
      <c r="G111" t="inlineStr">
        <is>
          <t>ANEBY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45357</v>
      </c>
      <c r="E112" s="1" t="n">
        <v>46241</v>
      </c>
      <c r="F112" t="inlineStr">
        <is>
          <t>JÖNKÖPINGS LÄN</t>
        </is>
      </c>
      <c r="G112" t="inlineStr">
        <is>
          <t>ANEBY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46241</v>
      </c>
      <c r="F113" t="inlineStr">
        <is>
          <t>JÖNKÖPINGS LÄN</t>
        </is>
      </c>
      <c r="G113" t="inlineStr">
        <is>
          <t>ANEBY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11565-2025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45727</v>
      </c>
      <c r="E114" s="1" t="n">
        <v>46241</v>
      </c>
      <c r="F114" t="inlineStr">
        <is>
          <t>JÖNKÖPINGS LÄN</t>
        </is>
      </c>
      <c r="G114" t="inlineStr">
        <is>
          <t>ANEBY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46241</v>
      </c>
      <c r="F115" t="inlineStr">
        <is>
          <t>JÖNKÖPINGS LÄN</t>
        </is>
      </c>
      <c r="G115" t="inlineStr">
        <is>
          <t>ANEBY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44966</v>
      </c>
      <c r="E116" s="1" t="n">
        <v>46241</v>
      </c>
      <c r="F116" t="inlineStr">
        <is>
          <t>JÖNKÖPINGS LÄN</t>
        </is>
      </c>
      <c r="G116" t="inlineStr">
        <is>
          <t>ANEBY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45034</v>
      </c>
      <c r="E117" s="1" t="n">
        <v>46241</v>
      </c>
      <c r="F117" t="inlineStr">
        <is>
          <t>JÖNKÖPINGS LÄN</t>
        </is>
      </c>
      <c r="G117" t="inlineStr">
        <is>
          <t>ANEBY</t>
        </is>
      </c>
      <c r="H117" t="inlineStr">
        <is>
          <t>Kyrkan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46241</v>
      </c>
      <c r="F118" t="inlineStr">
        <is>
          <t>JÖNKÖPINGS LÄN</t>
        </is>
      </c>
      <c r="G118" t="inlineStr">
        <is>
          <t>ANEBY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46241</v>
      </c>
      <c r="F119" t="inlineStr">
        <is>
          <t>JÖNKÖPINGS LÄN</t>
        </is>
      </c>
      <c r="G119" t="inlineStr">
        <is>
          <t>ANEBY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45020</v>
      </c>
      <c r="E120" s="1" t="n">
        <v>46241</v>
      </c>
      <c r="F120" t="inlineStr">
        <is>
          <t>JÖNKÖPINGS LÄN</t>
        </is>
      </c>
      <c r="G120" t="inlineStr">
        <is>
          <t>ANEBY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18147-2026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46125</v>
      </c>
      <c r="E121" s="1" t="n">
        <v>46241</v>
      </c>
      <c r="F121" t="inlineStr">
        <is>
          <t>JÖNKÖPINGS LÄN</t>
        </is>
      </c>
      <c r="G121" t="inlineStr">
        <is>
          <t>ANEBY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46241</v>
      </c>
      <c r="F122" t="inlineStr">
        <is>
          <t>JÖNKÖPINGS LÄN</t>
        </is>
      </c>
      <c r="G122" t="inlineStr">
        <is>
          <t>ANEBY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44851</v>
      </c>
      <c r="E123" s="1" t="n">
        <v>46241</v>
      </c>
      <c r="F123" t="inlineStr">
        <is>
          <t>JÖNKÖPINGS LÄN</t>
        </is>
      </c>
      <c r="G123" t="inlineStr">
        <is>
          <t>ANEBY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46241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46241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46241</v>
      </c>
      <c r="F126" t="inlineStr">
        <is>
          <t>JÖNKÖPINGS LÄN</t>
        </is>
      </c>
      <c r="G126" t="inlineStr">
        <is>
          <t>ANEBY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44461</v>
      </c>
      <c r="E127" s="1" t="n">
        <v>46241</v>
      </c>
      <c r="F127" t="inlineStr">
        <is>
          <t>JÖNKÖPINGS LÄN</t>
        </is>
      </c>
      <c r="G127" t="inlineStr">
        <is>
          <t>ANEBY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46241</v>
      </c>
      <c r="F128" t="inlineStr">
        <is>
          <t>JÖNKÖPINGS LÄN</t>
        </is>
      </c>
      <c r="G128" t="inlineStr">
        <is>
          <t>ANEBY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46241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46241</v>
      </c>
      <c r="F130" t="inlineStr">
        <is>
          <t>JÖNKÖPINGS LÄN</t>
        </is>
      </c>
      <c r="G130" t="inlineStr">
        <is>
          <t>ANEBY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46126</v>
      </c>
      <c r="E131" s="1" t="n">
        <v>46241</v>
      </c>
      <c r="F131" t="inlineStr">
        <is>
          <t>JÖNKÖPINGS LÄN</t>
        </is>
      </c>
      <c r="G131" t="inlineStr">
        <is>
          <t>ANEBY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46241</v>
      </c>
      <c r="F132" t="inlineStr">
        <is>
          <t>JÖNKÖPINGS LÄN</t>
        </is>
      </c>
      <c r="G132" t="inlineStr">
        <is>
          <t>ANEBY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46241</v>
      </c>
      <c r="F133" t="inlineStr">
        <is>
          <t>JÖNKÖPINGS LÄN</t>
        </is>
      </c>
      <c r="G133" t="inlineStr">
        <is>
          <t>ANEBY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61005-2024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46241</v>
      </c>
      <c r="F134" t="inlineStr">
        <is>
          <t>JÖNKÖPINGS LÄN</t>
        </is>
      </c>
      <c r="G134" t="inlineStr">
        <is>
          <t>ANEBY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46241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46241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46241</v>
      </c>
      <c r="F137" t="inlineStr">
        <is>
          <t>JÖNKÖPINGS LÄN</t>
        </is>
      </c>
      <c r="G137" t="inlineStr">
        <is>
          <t>ANEBY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46241</v>
      </c>
      <c r="F138" t="inlineStr">
        <is>
          <t>JÖNKÖPINGS LÄN</t>
        </is>
      </c>
      <c r="G138" t="inlineStr">
        <is>
          <t>ANEBY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46241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46241</v>
      </c>
      <c r="F140" t="inlineStr">
        <is>
          <t>JÖNKÖPINGS LÄN</t>
        </is>
      </c>
      <c r="G140" t="inlineStr">
        <is>
          <t>ANEBY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45911</v>
      </c>
      <c r="E141" s="1" t="n">
        <v>46241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46241</v>
      </c>
      <c r="F142" t="inlineStr">
        <is>
          <t>JÖNKÖPINGS LÄN</t>
        </is>
      </c>
      <c r="G142" t="inlineStr">
        <is>
          <t>ANEBY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43613-2023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45184</v>
      </c>
      <c r="E143" s="1" t="n">
        <v>46241</v>
      </c>
      <c r="F143" t="inlineStr">
        <is>
          <t>JÖNKÖPINGS LÄN</t>
        </is>
      </c>
      <c r="G143" t="inlineStr">
        <is>
          <t>ANEBY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57174-2021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46241</v>
      </c>
      <c r="F144" t="inlineStr">
        <is>
          <t>JÖNKÖPINGS LÄN</t>
        </is>
      </c>
      <c r="G144" t="inlineStr">
        <is>
          <t>ANEBY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46241</v>
      </c>
      <c r="F145" t="inlineStr">
        <is>
          <t>JÖNKÖPINGS LÄN</t>
        </is>
      </c>
      <c r="G145" t="inlineStr">
        <is>
          <t>ANEBY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45076</v>
      </c>
      <c r="E146" s="1" t="n">
        <v>46241</v>
      </c>
      <c r="F146" t="inlineStr">
        <is>
          <t>JÖNKÖPINGS LÄN</t>
        </is>
      </c>
      <c r="G146" t="inlineStr">
        <is>
          <t>ANEBY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46241</v>
      </c>
      <c r="F147" t="inlineStr">
        <is>
          <t>JÖNKÖPINGS LÄN</t>
        </is>
      </c>
      <c r="G147" t="inlineStr">
        <is>
          <t>ANEBY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45182</v>
      </c>
      <c r="E148" s="1" t="n">
        <v>46241</v>
      </c>
      <c r="F148" t="inlineStr">
        <is>
          <t>JÖNKÖPINGS LÄN</t>
        </is>
      </c>
      <c r="G148" t="inlineStr">
        <is>
          <t>ANEBY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46241</v>
      </c>
      <c r="F149" t="inlineStr">
        <is>
          <t>JÖNKÖPINGS LÄN</t>
        </is>
      </c>
      <c r="G149" t="inlineStr">
        <is>
          <t>ANEBY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46241</v>
      </c>
      <c r="F150" t="inlineStr">
        <is>
          <t>JÖNKÖPINGS LÄN</t>
        </is>
      </c>
      <c r="G150" t="inlineStr">
        <is>
          <t>ANEBY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44477</v>
      </c>
      <c r="E151" s="1" t="n">
        <v>46241</v>
      </c>
      <c r="F151" t="inlineStr">
        <is>
          <t>JÖNKÖPINGS LÄN</t>
        </is>
      </c>
      <c r="G151" t="inlineStr">
        <is>
          <t>ANEBY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46241</v>
      </c>
      <c r="F152" t="inlineStr">
        <is>
          <t>JÖNKÖPINGS LÄN</t>
        </is>
      </c>
      <c r="G152" t="inlineStr">
        <is>
          <t>ANEBY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46241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46241</v>
      </c>
      <c r="F154" t="inlineStr">
        <is>
          <t>JÖNKÖPINGS LÄN</t>
        </is>
      </c>
      <c r="G154" t="inlineStr">
        <is>
          <t>ANEBY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46241</v>
      </c>
      <c r="F155" t="inlineStr">
        <is>
          <t>JÖNKÖPINGS LÄN</t>
        </is>
      </c>
      <c r="G155" t="inlineStr">
        <is>
          <t>ANEBY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45772</v>
      </c>
      <c r="E156" s="1" t="n">
        <v>46241</v>
      </c>
      <c r="F156" t="inlineStr">
        <is>
          <t>JÖNKÖPINGS LÄN</t>
        </is>
      </c>
      <c r="G156" t="inlineStr">
        <is>
          <t>ANEBY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46241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46241</v>
      </c>
      <c r="F158" t="inlineStr">
        <is>
          <t>JÖNKÖPINGS LÄN</t>
        </is>
      </c>
      <c r="G158" t="inlineStr">
        <is>
          <t>ANEBY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44606</v>
      </c>
      <c r="E159" s="1" t="n">
        <v>46241</v>
      </c>
      <c r="F159" t="inlineStr">
        <is>
          <t>JÖNKÖPINGS LÄN</t>
        </is>
      </c>
      <c r="G159" t="inlineStr">
        <is>
          <t>ANEBY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46241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46241</v>
      </c>
      <c r="F161" t="inlineStr">
        <is>
          <t>JÖNKÖPINGS LÄN</t>
        </is>
      </c>
      <c r="G161" t="inlineStr">
        <is>
          <t>ANEBY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23354-2023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45076</v>
      </c>
      <c r="E162" s="1" t="n">
        <v>46241</v>
      </c>
      <c r="F162" t="inlineStr">
        <is>
          <t>JÖNKÖPINGS LÄN</t>
        </is>
      </c>
      <c r="G162" t="inlineStr">
        <is>
          <t>ANEBY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46241</v>
      </c>
      <c r="F163" t="inlineStr">
        <is>
          <t>JÖNKÖPINGS LÄN</t>
        </is>
      </c>
      <c r="G163" t="inlineStr">
        <is>
          <t>ANEBY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46241</v>
      </c>
      <c r="F164" t="inlineStr">
        <is>
          <t>JÖNKÖPINGS LÄN</t>
        </is>
      </c>
      <c r="G164" t="inlineStr">
        <is>
          <t>ANEBY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46241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45086</v>
      </c>
      <c r="E166" s="1" t="n">
        <v>46241</v>
      </c>
      <c r="F166" t="inlineStr">
        <is>
          <t>JÖNKÖPINGS LÄN</t>
        </is>
      </c>
      <c r="G166" t="inlineStr">
        <is>
          <t>ANEBY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45236</v>
      </c>
      <c r="E167" s="1" t="n">
        <v>46241</v>
      </c>
      <c r="F167" t="inlineStr">
        <is>
          <t>JÖNKÖPINGS LÄN</t>
        </is>
      </c>
      <c r="G167" t="inlineStr">
        <is>
          <t>ANEBY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46241</v>
      </c>
      <c r="F168" t="inlineStr">
        <is>
          <t>JÖNKÖPINGS LÄN</t>
        </is>
      </c>
      <c r="G168" t="inlineStr">
        <is>
          <t>ANEBY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46241</v>
      </c>
      <c r="F169" t="inlineStr">
        <is>
          <t>JÖNKÖPINGS LÄN</t>
        </is>
      </c>
      <c r="G169" t="inlineStr">
        <is>
          <t>ANEBY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46241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51185-2021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46241</v>
      </c>
      <c r="F171" t="inlineStr">
        <is>
          <t>JÖNKÖPINGS LÄN</t>
        </is>
      </c>
      <c r="G171" t="inlineStr">
        <is>
          <t>ANEBY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45089</v>
      </c>
      <c r="E172" s="1" t="n">
        <v>46241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46241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46241</v>
      </c>
      <c r="F174" t="inlineStr">
        <is>
          <t>JÖNKÖPINGS LÄN</t>
        </is>
      </c>
      <c r="G174" t="inlineStr">
        <is>
          <t>ANEBY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45007</v>
      </c>
      <c r="E175" s="1" t="n">
        <v>46241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45384</v>
      </c>
      <c r="E176" s="1" t="n">
        <v>46241</v>
      </c>
      <c r="F176" t="inlineStr">
        <is>
          <t>JÖNKÖPINGS LÄN</t>
        </is>
      </c>
      <c r="G176" t="inlineStr">
        <is>
          <t>ANEBY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46241</v>
      </c>
      <c r="F177" t="inlineStr">
        <is>
          <t>JÖNKÖPINGS LÄN</t>
        </is>
      </c>
      <c r="G177" t="inlineStr">
        <is>
          <t>ANEBY</t>
        </is>
      </c>
      <c r="H177" t="inlineStr">
        <is>
          <t>Övriga Aktiebolag</t>
        </is>
      </c>
      <c r="I177" t="n">
        <v>19.6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59507-2022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44900</v>
      </c>
      <c r="E178" s="1" t="n">
        <v>46241</v>
      </c>
      <c r="F178" t="inlineStr">
        <is>
          <t>JÖNKÖPINGS LÄN</t>
        </is>
      </c>
      <c r="G178" t="inlineStr">
        <is>
          <t>ANEBY</t>
        </is>
      </c>
      <c r="H178" t="inlineStr">
        <is>
          <t>Övriga Aktiebolag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46241</v>
      </c>
      <c r="F179" t="inlineStr">
        <is>
          <t>JÖNKÖPINGS LÄN</t>
        </is>
      </c>
      <c r="G179" t="inlineStr">
        <is>
          <t>ANEBY</t>
        </is>
      </c>
      <c r="I179" t="n">
        <v>13.8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46241</v>
      </c>
      <c r="F180" t="inlineStr">
        <is>
          <t>JÖNKÖPINGS LÄN</t>
        </is>
      </c>
      <c r="G180" t="inlineStr">
        <is>
          <t>ANEBY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46241</v>
      </c>
      <c r="F181" t="inlineStr">
        <is>
          <t>JÖNKÖPINGS LÄN</t>
        </is>
      </c>
      <c r="G181" t="inlineStr">
        <is>
          <t>ANEBY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56735-2021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44481</v>
      </c>
      <c r="E182" s="1" t="n">
        <v>46241</v>
      </c>
      <c r="F182" t="inlineStr">
        <is>
          <t>JÖNKÖPINGS LÄN</t>
        </is>
      </c>
      <c r="G182" t="inlineStr">
        <is>
          <t>ANEBY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46241</v>
      </c>
      <c r="F183" t="inlineStr">
        <is>
          <t>JÖNKÖPINGS LÄN</t>
        </is>
      </c>
      <c r="G183" t="inlineStr">
        <is>
          <t>ANEBY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46241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46241</v>
      </c>
      <c r="F185" t="inlineStr">
        <is>
          <t>JÖNKÖPINGS LÄN</t>
        </is>
      </c>
      <c r="G185" t="inlineStr">
        <is>
          <t>ANEBY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45379</v>
      </c>
      <c r="E186" s="1" t="n">
        <v>46241</v>
      </c>
      <c r="F186" t="inlineStr">
        <is>
          <t>JÖNKÖPINGS LÄN</t>
        </is>
      </c>
      <c r="G186" t="inlineStr">
        <is>
          <t>ANEBY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46241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45122</v>
      </c>
      <c r="E188" s="1" t="n">
        <v>46241</v>
      </c>
      <c r="F188" t="inlineStr">
        <is>
          <t>JÖNKÖPINGS LÄN</t>
        </is>
      </c>
      <c r="G188" t="inlineStr">
        <is>
          <t>ANEBY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46241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21356-2026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46147</v>
      </c>
      <c r="E190" s="1" t="n">
        <v>46241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46241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46241</v>
      </c>
      <c r="F192" t="inlineStr">
        <is>
          <t>JÖNKÖPINGS LÄN</t>
        </is>
      </c>
      <c r="G192" t="inlineStr">
        <is>
          <t>ANEBY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46241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44959</v>
      </c>
      <c r="E194" s="1" t="n">
        <v>46241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45304</v>
      </c>
      <c r="E195" s="1" t="n">
        <v>46241</v>
      </c>
      <c r="F195" t="inlineStr">
        <is>
          <t>JÖNKÖPINGS LÄN</t>
        </is>
      </c>
      <c r="G195" t="inlineStr">
        <is>
          <t>ANEBY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46241</v>
      </c>
      <c r="F196" t="inlineStr">
        <is>
          <t>JÖNKÖPINGS LÄN</t>
        </is>
      </c>
      <c r="G196" t="inlineStr">
        <is>
          <t>ANEBY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38794-2023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45161</v>
      </c>
      <c r="E197" s="1" t="n">
        <v>46241</v>
      </c>
      <c r="F197" t="inlineStr">
        <is>
          <t>JÖNKÖPINGS LÄN</t>
        </is>
      </c>
      <c r="G197" t="inlineStr">
        <is>
          <t>ANEBY</t>
        </is>
      </c>
      <c r="H197" t="inlineStr">
        <is>
          <t>Övriga Aktiebolag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46241</v>
      </c>
      <c r="F198" t="inlineStr">
        <is>
          <t>JÖNKÖPINGS LÄN</t>
        </is>
      </c>
      <c r="G198" t="inlineStr">
        <is>
          <t>ANEBY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45468</v>
      </c>
      <c r="E199" s="1" t="n">
        <v>46241</v>
      </c>
      <c r="F199" t="inlineStr">
        <is>
          <t>JÖNKÖPINGS LÄN</t>
        </is>
      </c>
      <c r="G199" t="inlineStr">
        <is>
          <t>ANEBY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46241</v>
      </c>
      <c r="F200" t="inlineStr">
        <is>
          <t>JÖNKÖPINGS LÄN</t>
        </is>
      </c>
      <c r="G200" t="inlineStr">
        <is>
          <t>ANEBY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46241</v>
      </c>
      <c r="F201" t="inlineStr">
        <is>
          <t>JÖNKÖPINGS LÄN</t>
        </is>
      </c>
      <c r="G201" t="inlineStr">
        <is>
          <t>ANEBY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46241</v>
      </c>
      <c r="F202" t="inlineStr">
        <is>
          <t>JÖNKÖPINGS LÄN</t>
        </is>
      </c>
      <c r="G202" t="inlineStr">
        <is>
          <t>ANEBY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46241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46241</v>
      </c>
      <c r="F204" t="inlineStr">
        <is>
          <t>JÖNKÖPINGS LÄN</t>
        </is>
      </c>
      <c r="G204" t="inlineStr">
        <is>
          <t>ANEBY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46241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51160-2021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44461</v>
      </c>
      <c r="E206" s="1" t="n">
        <v>46241</v>
      </c>
      <c r="F206" t="inlineStr">
        <is>
          <t>JÖNKÖPINGS LÄN</t>
        </is>
      </c>
      <c r="G206" t="inlineStr">
        <is>
          <t>ANEBY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45126</v>
      </c>
      <c r="E207" s="1" t="n">
        <v>46241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50069-2024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45600</v>
      </c>
      <c r="E208" s="1" t="n">
        <v>46241</v>
      </c>
      <c r="F208" t="inlineStr">
        <is>
          <t>JÖNKÖPINGS LÄN</t>
        </is>
      </c>
      <c r="G208" t="inlineStr">
        <is>
          <t>ANEBY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54213-2024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45616</v>
      </c>
      <c r="E209" s="1" t="n">
        <v>46241</v>
      </c>
      <c r="F209" t="inlineStr">
        <is>
          <t>JÖNKÖPINGS LÄN</t>
        </is>
      </c>
      <c r="G209" t="inlineStr">
        <is>
          <t>ANEBY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46241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46241</v>
      </c>
      <c r="F211" t="inlineStr">
        <is>
          <t>JÖNKÖPINGS LÄN</t>
        </is>
      </c>
      <c r="G211" t="inlineStr">
        <is>
          <t>ANEBY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46241</v>
      </c>
      <c r="F212" t="inlineStr">
        <is>
          <t>JÖNKÖPINGS LÄN</t>
        </is>
      </c>
      <c r="G212" t="inlineStr">
        <is>
          <t>ANEBY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46021</v>
      </c>
      <c r="E213" s="1" t="n">
        <v>46241</v>
      </c>
      <c r="F213" t="inlineStr">
        <is>
          <t>JÖNKÖPINGS LÄN</t>
        </is>
      </c>
      <c r="G213" t="inlineStr">
        <is>
          <t>ANEBY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46241</v>
      </c>
      <c r="F214" t="inlineStr">
        <is>
          <t>JÖNKÖPINGS LÄN</t>
        </is>
      </c>
      <c r="G214" t="inlineStr">
        <is>
          <t>ANEBY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46241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45198</v>
      </c>
      <c r="E216" s="1" t="n">
        <v>46241</v>
      </c>
      <c r="F216" t="inlineStr">
        <is>
          <t>JÖNKÖPINGS LÄN</t>
        </is>
      </c>
      <c r="G216" t="inlineStr">
        <is>
          <t>ANEBY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46241</v>
      </c>
      <c r="F217" t="inlineStr">
        <is>
          <t>JÖNKÖPINGS LÄN</t>
        </is>
      </c>
      <c r="G217" t="inlineStr">
        <is>
          <t>ANEBY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46241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46241</v>
      </c>
      <c r="F219" t="inlineStr">
        <is>
          <t>JÖNKÖPINGS LÄN</t>
        </is>
      </c>
      <c r="G219" t="inlineStr">
        <is>
          <t>ANEBY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45124</v>
      </c>
      <c r="E220" s="1" t="n">
        <v>46241</v>
      </c>
      <c r="F220" t="inlineStr">
        <is>
          <t>JÖNKÖPINGS LÄN</t>
        </is>
      </c>
      <c r="G220" t="inlineStr">
        <is>
          <t>ANEBY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46241</v>
      </c>
      <c r="F221" t="inlineStr">
        <is>
          <t>JÖNKÖPINGS LÄN</t>
        </is>
      </c>
      <c r="G221" t="inlineStr">
        <is>
          <t>ANEBY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45126</v>
      </c>
      <c r="E222" s="1" t="n">
        <v>46241</v>
      </c>
      <c r="F222" t="inlineStr">
        <is>
          <t>JÖNKÖPINGS LÄN</t>
        </is>
      </c>
      <c r="G222" t="inlineStr">
        <is>
          <t>ANEBY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46241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46241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46241</v>
      </c>
      <c r="F225" t="inlineStr">
        <is>
          <t>JÖNKÖPINGS LÄN</t>
        </is>
      </c>
      <c r="G225" t="inlineStr">
        <is>
          <t>ANEBY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46241</v>
      </c>
      <c r="F226" t="inlineStr">
        <is>
          <t>JÖNKÖPINGS LÄN</t>
        </is>
      </c>
      <c r="G226" t="inlineStr">
        <is>
          <t>ANEBY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46241</v>
      </c>
      <c r="F227" t="inlineStr">
        <is>
          <t>JÖNKÖPINGS LÄN</t>
        </is>
      </c>
      <c r="G227" t="inlineStr">
        <is>
          <t>ANEBY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45616</v>
      </c>
      <c r="E228" s="1" t="n">
        <v>46241</v>
      </c>
      <c r="F228" t="inlineStr">
        <is>
          <t>JÖNKÖPINGS LÄN</t>
        </is>
      </c>
      <c r="G228" t="inlineStr">
        <is>
          <t>ANEBY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45316</v>
      </c>
      <c r="E229" s="1" t="n">
        <v>46241</v>
      </c>
      <c r="F229" t="inlineStr">
        <is>
          <t>JÖNKÖPINGS LÄN</t>
        </is>
      </c>
      <c r="G229" t="inlineStr">
        <is>
          <t>ANEBY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52790-2024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46241</v>
      </c>
      <c r="F230" t="inlineStr">
        <is>
          <t>JÖNKÖPINGS LÄN</t>
        </is>
      </c>
      <c r="G230" t="inlineStr">
        <is>
          <t>ANEBY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10155-2024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45364</v>
      </c>
      <c r="E231" s="1" t="n">
        <v>46241</v>
      </c>
      <c r="F231" t="inlineStr">
        <is>
          <t>JÖNKÖPINGS LÄN</t>
        </is>
      </c>
      <c r="G231" t="inlineStr">
        <is>
          <t>ANEBY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46241</v>
      </c>
      <c r="F232" t="inlineStr">
        <is>
          <t>JÖNKÖPINGS LÄN</t>
        </is>
      </c>
      <c r="G232" t="inlineStr">
        <is>
          <t>ANEBY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45372</v>
      </c>
      <c r="E233" s="1" t="n">
        <v>46241</v>
      </c>
      <c r="F233" t="inlineStr">
        <is>
          <t>JÖNKÖPINGS LÄN</t>
        </is>
      </c>
      <c r="G233" t="inlineStr">
        <is>
          <t>ANEBY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21026-2024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45439</v>
      </c>
      <c r="E234" s="1" t="n">
        <v>46241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46241</v>
      </c>
      <c r="F235" t="inlineStr">
        <is>
          <t>JÖNKÖPINGS LÄN</t>
        </is>
      </c>
      <c r="G235" t="inlineStr">
        <is>
          <t>ANEBY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46057</v>
      </c>
      <c r="E236" s="1" t="n">
        <v>46241</v>
      </c>
      <c r="F236" t="inlineStr">
        <is>
          <t>JÖNKÖPINGS LÄN</t>
        </is>
      </c>
      <c r="G236" t="inlineStr">
        <is>
          <t>ANEBY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46241</v>
      </c>
      <c r="F237" t="inlineStr">
        <is>
          <t>JÖNKÖPINGS LÄN</t>
        </is>
      </c>
      <c r="G237" t="inlineStr">
        <is>
          <t>ANEBY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46241</v>
      </c>
      <c r="F238" t="inlineStr">
        <is>
          <t>JÖNKÖPINGS LÄN</t>
        </is>
      </c>
      <c r="G238" t="inlineStr">
        <is>
          <t>ANEBY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7263-2026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46058</v>
      </c>
      <c r="E239" s="1" t="n">
        <v>46241</v>
      </c>
      <c r="F239" t="inlineStr">
        <is>
          <t>JÖNKÖPINGS LÄN</t>
        </is>
      </c>
      <c r="G239" t="inlineStr">
        <is>
          <t>ANEBY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45372</v>
      </c>
      <c r="E240" s="1" t="n">
        <v>46241</v>
      </c>
      <c r="F240" t="inlineStr">
        <is>
          <t>JÖNKÖPINGS LÄN</t>
        </is>
      </c>
      <c r="G240" t="inlineStr">
        <is>
          <t>ANEBY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46241</v>
      </c>
      <c r="F241" t="inlineStr">
        <is>
          <t>JÖNKÖPINGS LÄN</t>
        </is>
      </c>
      <c r="G241" t="inlineStr">
        <is>
          <t>ANEBY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46241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46241</v>
      </c>
      <c r="F243" t="inlineStr">
        <is>
          <t>JÖNKÖPINGS LÄN</t>
        </is>
      </c>
      <c r="G243" t="inlineStr">
        <is>
          <t>ANEBY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46241</v>
      </c>
      <c r="F244" t="inlineStr">
        <is>
          <t>JÖNKÖPINGS LÄN</t>
        </is>
      </c>
      <c r="G244" t="inlineStr">
        <is>
          <t>ANEBY</t>
        </is>
      </c>
      <c r="H244" t="inlineStr">
        <is>
          <t>Sveaskog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46241</v>
      </c>
      <c r="F245" t="inlineStr">
        <is>
          <t>JÖNKÖPINGS LÄN</t>
        </is>
      </c>
      <c r="G245" t="inlineStr">
        <is>
          <t>ANEBY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46241</v>
      </c>
      <c r="F246" t="inlineStr">
        <is>
          <t>JÖNKÖPINGS LÄN</t>
        </is>
      </c>
      <c r="G246" t="inlineStr">
        <is>
          <t>ANEBY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46241</v>
      </c>
      <c r="F247" t="inlineStr">
        <is>
          <t>JÖNKÖPINGS LÄN</t>
        </is>
      </c>
      <c r="G247" t="inlineStr">
        <is>
          <t>ANEBY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44705</v>
      </c>
      <c r="E248" s="1" t="n">
        <v>46241</v>
      </c>
      <c r="F248" t="inlineStr">
        <is>
          <t>JÖNKÖPINGS LÄN</t>
        </is>
      </c>
      <c r="G248" t="inlineStr">
        <is>
          <t>ANEBY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46241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44678</v>
      </c>
      <c r="E250" s="1" t="n">
        <v>46241</v>
      </c>
      <c r="F250" t="inlineStr">
        <is>
          <t>JÖNKÖPINGS LÄN</t>
        </is>
      </c>
      <c r="G250" t="inlineStr">
        <is>
          <t>ANEBY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46241</v>
      </c>
      <c r="F251" t="inlineStr">
        <is>
          <t>JÖNKÖPINGS LÄN</t>
        </is>
      </c>
      <c r="G251" t="inlineStr">
        <is>
          <t>ANEBY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46073</v>
      </c>
      <c r="E252" s="1" t="n">
        <v>46241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46241</v>
      </c>
      <c r="F253" t="inlineStr">
        <is>
          <t>JÖNKÖPINGS LÄN</t>
        </is>
      </c>
      <c r="G253" t="inlineStr">
        <is>
          <t>ANEBY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46241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46214</v>
      </c>
      <c r="E255" s="1" t="n">
        <v>46241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46214</v>
      </c>
      <c r="E256" s="1" t="n">
        <v>46241</v>
      </c>
      <c r="F256" t="inlineStr">
        <is>
          <t>JÖNKÖPINGS LÄN</t>
        </is>
      </c>
      <c r="G256" t="inlineStr">
        <is>
          <t>ANEBY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45404</v>
      </c>
      <c r="E257" s="1" t="n">
        <v>46241</v>
      </c>
      <c r="F257" t="inlineStr">
        <is>
          <t>JÖNKÖPINGS LÄN</t>
        </is>
      </c>
      <c r="G257" t="inlineStr">
        <is>
          <t>ANEBY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46214</v>
      </c>
      <c r="E258" s="1" t="n">
        <v>46241</v>
      </c>
      <c r="F258" t="inlineStr">
        <is>
          <t>JÖNKÖPINGS LÄN</t>
        </is>
      </c>
      <c r="G258" t="inlineStr">
        <is>
          <t>ANEBY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46171</v>
      </c>
      <c r="E259" s="1" t="n">
        <v>46241</v>
      </c>
      <c r="F259" t="inlineStr">
        <is>
          <t>JÖNKÖPINGS LÄN</t>
        </is>
      </c>
      <c r="G259" t="inlineStr">
        <is>
          <t>ANEBY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45707</v>
      </c>
      <c r="E260" s="1" t="n">
        <v>46241</v>
      </c>
      <c r="F260" t="inlineStr">
        <is>
          <t>JÖNKÖPINGS LÄN</t>
        </is>
      </c>
      <c r="G260" t="inlineStr">
        <is>
          <t>ANEBY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46241</v>
      </c>
      <c r="F261" t="inlineStr">
        <is>
          <t>JÖNKÖPINGS LÄN</t>
        </is>
      </c>
      <c r="G261" t="inlineStr">
        <is>
          <t>ANEBY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44700</v>
      </c>
      <c r="E262" s="1" t="n">
        <v>46241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44671</v>
      </c>
      <c r="E263" s="1" t="n">
        <v>46241</v>
      </c>
      <c r="F263" t="inlineStr">
        <is>
          <t>JÖNKÖPINGS LÄN</t>
        </is>
      </c>
      <c r="G263" t="inlineStr">
        <is>
          <t>ANEBY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46241</v>
      </c>
      <c r="F264" t="inlineStr">
        <is>
          <t>JÖNKÖPINGS LÄN</t>
        </is>
      </c>
      <c r="G264" t="inlineStr">
        <is>
          <t>ANEBY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46176</v>
      </c>
      <c r="E265" s="1" t="n">
        <v>46241</v>
      </c>
      <c r="F265" t="inlineStr">
        <is>
          <t>JÖNKÖPINGS LÄN</t>
        </is>
      </c>
      <c r="G265" t="inlineStr">
        <is>
          <t>ANEBY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26769-2022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46241</v>
      </c>
      <c r="F266" t="inlineStr">
        <is>
          <t>JÖNKÖPINGS LÄN</t>
        </is>
      </c>
      <c r="G266" t="inlineStr">
        <is>
          <t>ANEBY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44721</v>
      </c>
      <c r="E267" s="1" t="n">
        <v>46241</v>
      </c>
      <c r="F267" t="inlineStr">
        <is>
          <t>JÖNKÖPINGS LÄN</t>
        </is>
      </c>
      <c r="G267" t="inlineStr">
        <is>
          <t>ANEBY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46241</v>
      </c>
      <c r="F268" t="inlineStr">
        <is>
          <t>JÖNKÖPINGS LÄN</t>
        </is>
      </c>
      <c r="G268" t="inlineStr">
        <is>
          <t>ANEBY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13038-2026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46093</v>
      </c>
      <c r="E269" s="1" t="n">
        <v>46241</v>
      </c>
      <c r="F269" t="inlineStr">
        <is>
          <t>JÖNKÖPINGS LÄN</t>
        </is>
      </c>
      <c r="G269" t="inlineStr">
        <is>
          <t>ANEBY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46241</v>
      </c>
      <c r="F270" t="inlineStr">
        <is>
          <t>JÖNKÖPINGS LÄN</t>
        </is>
      </c>
      <c r="G270" t="inlineStr">
        <is>
          <t>ANEBY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45762</v>
      </c>
      <c r="E271" s="1" t="n">
        <v>46241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46098</v>
      </c>
      <c r="E272" s="1" t="n">
        <v>46241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20.7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45539</v>
      </c>
      <c r="E273" s="1" t="n">
        <v>46241</v>
      </c>
      <c r="F273" t="inlineStr">
        <is>
          <t>JÖNKÖPINGS LÄN</t>
        </is>
      </c>
      <c r="G273" t="inlineStr">
        <is>
          <t>ANEBY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46241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46241</v>
      </c>
      <c r="F275" t="inlineStr">
        <is>
          <t>JÖNKÖPINGS LÄN</t>
        </is>
      </c>
      <c r="G275" t="inlineStr">
        <is>
          <t>ANEBY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45300</v>
      </c>
      <c r="E276" s="1" t="n">
        <v>46241</v>
      </c>
      <c r="F276" t="inlineStr">
        <is>
          <t>JÖNKÖPINGS LÄN</t>
        </is>
      </c>
      <c r="G276" t="inlineStr">
        <is>
          <t>ANEBY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19362-2025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45769</v>
      </c>
      <c r="E277" s="1" t="n">
        <v>46241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46241</v>
      </c>
      <c r="F278" t="inlineStr">
        <is>
          <t>JÖNKÖPINGS LÄN</t>
        </is>
      </c>
      <c r="G278" t="inlineStr">
        <is>
          <t>ANEBY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46241</v>
      </c>
      <c r="F279" t="inlineStr">
        <is>
          <t>JÖNKÖPINGS LÄN</t>
        </is>
      </c>
      <c r="G279" t="inlineStr">
        <is>
          <t>ANEBY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46241</v>
      </c>
      <c r="F280" t="inlineStr">
        <is>
          <t>JÖNKÖPINGS LÄN</t>
        </is>
      </c>
      <c r="G280" t="inlineStr">
        <is>
          <t>ANEBY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46241</v>
      </c>
      <c r="F281" t="inlineStr">
        <is>
          <t>JÖNKÖPINGS LÄN</t>
        </is>
      </c>
      <c r="G281" t="inlineStr">
        <is>
          <t>ANEBY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46241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46241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46241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44847</v>
      </c>
      <c r="E285" s="1" t="n">
        <v>46241</v>
      </c>
      <c r="F285" t="inlineStr">
        <is>
          <t>JÖNKÖPINGS LÄN</t>
        </is>
      </c>
      <c r="G285" t="inlineStr">
        <is>
          <t>ANEBY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46224</v>
      </c>
      <c r="E286" s="1" t="n">
        <v>46241</v>
      </c>
      <c r="F286" t="inlineStr">
        <is>
          <t>JÖNKÖPINGS LÄN</t>
        </is>
      </c>
      <c r="G286" t="inlineStr">
        <is>
          <t>ANEBY</t>
        </is>
      </c>
      <c r="I286" t="n">
        <v>8.699999999999999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46241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46241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46241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46241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57170-2021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44482</v>
      </c>
      <c r="E291" s="1" t="n">
        <v>46241</v>
      </c>
      <c r="F291" t="inlineStr">
        <is>
          <t>JÖNKÖPINGS LÄN</t>
        </is>
      </c>
      <c r="G291" t="inlineStr">
        <is>
          <t>ANEBY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14323-2024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45393</v>
      </c>
      <c r="E292" s="1" t="n">
        <v>46241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46241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46241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46241</v>
      </c>
      <c r="F295" t="inlineStr">
        <is>
          <t>JÖNKÖPINGS LÄN</t>
        </is>
      </c>
      <c r="G295" t="inlineStr">
        <is>
          <t>ANEBY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46241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46241</v>
      </c>
      <c r="F297" t="inlineStr">
        <is>
          <t>JÖNKÖPINGS LÄN</t>
        </is>
      </c>
      <c r="G297" t="inlineStr">
        <is>
          <t>ANEBY</t>
        </is>
      </c>
      <c r="I297" t="n">
        <v>17.9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67414-2021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44524</v>
      </c>
      <c r="E298" s="1" t="n">
        <v>46241</v>
      </c>
      <c r="F298" t="inlineStr">
        <is>
          <t>JÖNKÖPINGS LÄN</t>
        </is>
      </c>
      <c r="G298" t="inlineStr">
        <is>
          <t>ANEBY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44565</v>
      </c>
      <c r="E299" s="1" t="n">
        <v>46241</v>
      </c>
      <c r="F299" t="inlineStr">
        <is>
          <t>JÖNKÖPINGS LÄN</t>
        </is>
      </c>
      <c r="G299" t="inlineStr">
        <is>
          <t>ANEBY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44985</v>
      </c>
      <c r="E300" s="1" t="n">
        <v>46241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46241</v>
      </c>
      <c r="F301" t="inlineStr">
        <is>
          <t>JÖNKÖPINGS LÄN</t>
        </is>
      </c>
      <c r="G301" t="inlineStr">
        <is>
          <t>ANEBY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46241</v>
      </c>
      <c r="F302" t="inlineStr">
        <is>
          <t>JÖNKÖPINGS LÄN</t>
        </is>
      </c>
      <c r="G302" t="inlineStr">
        <is>
          <t>ANEBY</t>
        </is>
      </c>
      <c r="H302" t="inlineStr">
        <is>
          <t>Kyrkan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44957</v>
      </c>
      <c r="E303" s="1" t="n">
        <v>46241</v>
      </c>
      <c r="F303" t="inlineStr">
        <is>
          <t>JÖNKÖPINGS LÄN</t>
        </is>
      </c>
      <c r="G303" t="inlineStr">
        <is>
          <t>ANEBY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46241</v>
      </c>
      <c r="F304" t="inlineStr">
        <is>
          <t>JÖNKÖPINGS LÄN</t>
        </is>
      </c>
      <c r="G304" t="inlineStr">
        <is>
          <t>ANEBY</t>
        </is>
      </c>
      <c r="H304" t="inlineStr">
        <is>
          <t>Kyrkan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35773-2023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45148</v>
      </c>
      <c r="E305" s="1" t="n">
        <v>46241</v>
      </c>
      <c r="F305" t="inlineStr">
        <is>
          <t>JÖNKÖPINGS LÄN</t>
        </is>
      </c>
      <c r="G305" t="inlineStr">
        <is>
          <t>ANEBY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55688-2022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44888</v>
      </c>
      <c r="E306" s="1" t="n">
        <v>46241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45363</v>
      </c>
      <c r="E307" s="1" t="n">
        <v>46241</v>
      </c>
      <c r="F307" t="inlineStr">
        <is>
          <t>JÖNKÖPINGS LÄN</t>
        </is>
      </c>
      <c r="G307" t="inlineStr">
        <is>
          <t>ANEBY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46241</v>
      </c>
      <c r="F308" t="inlineStr">
        <is>
          <t>JÖNKÖPINGS LÄN</t>
        </is>
      </c>
      <c r="G308" t="inlineStr">
        <is>
          <t>ANEBY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40017-2024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46241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45300</v>
      </c>
      <c r="E310" s="1" t="n">
        <v>46241</v>
      </c>
      <c r="F310" t="inlineStr">
        <is>
          <t>JÖNKÖPINGS LÄN</t>
        </is>
      </c>
      <c r="G310" t="inlineStr">
        <is>
          <t>ANEBY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46241</v>
      </c>
      <c r="F311" t="inlineStr">
        <is>
          <t>JÖNKÖPINGS LÄN</t>
        </is>
      </c>
      <c r="G311" t="inlineStr">
        <is>
          <t>ANEBY</t>
        </is>
      </c>
      <c r="H311" t="inlineStr">
        <is>
          <t>Kyrkan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43485-2023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46241</v>
      </c>
      <c r="F312" t="inlineStr">
        <is>
          <t>JÖNKÖPINGS LÄN</t>
        </is>
      </c>
      <c r="G312" t="inlineStr">
        <is>
          <t>ANEBY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46241</v>
      </c>
      <c r="F313" t="inlineStr">
        <is>
          <t>JÖNKÖPINGS LÄN</t>
        </is>
      </c>
      <c r="G313" t="inlineStr">
        <is>
          <t>ANEBY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44620</v>
      </c>
      <c r="E314" s="1" t="n">
        <v>46241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46241</v>
      </c>
      <c r="F315" t="inlineStr">
        <is>
          <t>JÖNKÖPINGS LÄN</t>
        </is>
      </c>
      <c r="G315" t="inlineStr">
        <is>
          <t>ANEBY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10456-2023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44981</v>
      </c>
      <c r="E316" s="1" t="n">
        <v>46241</v>
      </c>
      <c r="F316" t="inlineStr">
        <is>
          <t>JÖNKÖPINGS LÄN</t>
        </is>
      </c>
      <c r="G316" t="inlineStr">
        <is>
          <t>ANEBY</t>
        </is>
      </c>
      <c r="H316" t="inlineStr">
        <is>
          <t>Övriga Aktiebolag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46241</v>
      </c>
      <c r="F317" t="inlineStr">
        <is>
          <t>JÖNKÖPINGS LÄN</t>
        </is>
      </c>
      <c r="G317" t="inlineStr">
        <is>
          <t>ANEBY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45359</v>
      </c>
      <c r="E318" s="1" t="n">
        <v>46241</v>
      </c>
      <c r="F318" t="inlineStr">
        <is>
          <t>JÖNKÖPINGS LÄN</t>
        </is>
      </c>
      <c r="G318" t="inlineStr">
        <is>
          <t>ANEBY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46241</v>
      </c>
      <c r="F319" t="inlineStr">
        <is>
          <t>JÖNKÖPINGS LÄN</t>
        </is>
      </c>
      <c r="G319" t="inlineStr">
        <is>
          <t>ANEBY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45363</v>
      </c>
      <c r="E320" s="1" t="n">
        <v>46241</v>
      </c>
      <c r="F320" t="inlineStr">
        <is>
          <t>JÖNKÖPINGS LÄN</t>
        </is>
      </c>
      <c r="G320" t="inlineStr">
        <is>
          <t>ANEBY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46241</v>
      </c>
      <c r="F321" t="inlineStr">
        <is>
          <t>JÖNKÖPINGS LÄN</t>
        </is>
      </c>
      <c r="G321" t="inlineStr">
        <is>
          <t>ANEBY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46241</v>
      </c>
      <c r="F322" t="inlineStr">
        <is>
          <t>JÖNKÖPINGS LÄN</t>
        </is>
      </c>
      <c r="G322" t="inlineStr">
        <is>
          <t>ANEBY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46241</v>
      </c>
      <c r="F323" t="inlineStr">
        <is>
          <t>JÖNKÖPINGS LÄN</t>
        </is>
      </c>
      <c r="G323" t="inlineStr">
        <is>
          <t>ANEBY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45412</v>
      </c>
      <c r="E324" s="1" t="n">
        <v>46241</v>
      </c>
      <c r="F324" t="inlineStr">
        <is>
          <t>JÖNKÖPINGS LÄN</t>
        </is>
      </c>
      <c r="G324" t="inlineStr">
        <is>
          <t>ANEBY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46241</v>
      </c>
      <c r="F325" t="inlineStr">
        <is>
          <t>JÖNKÖPINGS LÄN</t>
        </is>
      </c>
      <c r="G325" t="inlineStr">
        <is>
          <t>ANEBY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10360-2024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45365</v>
      </c>
      <c r="E326" s="1" t="n">
        <v>46241</v>
      </c>
      <c r="F326" t="inlineStr">
        <is>
          <t>JÖNKÖPINGS LÄN</t>
        </is>
      </c>
      <c r="G326" t="inlineStr">
        <is>
          <t>ANEBY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45408</v>
      </c>
      <c r="E327" s="1" t="n">
        <v>46241</v>
      </c>
      <c r="F327" t="inlineStr">
        <is>
          <t>JÖNKÖPINGS LÄN</t>
        </is>
      </c>
      <c r="G327" t="inlineStr">
        <is>
          <t>ANEBY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45077</v>
      </c>
      <c r="E328" s="1" t="n">
        <v>46241</v>
      </c>
      <c r="F328" t="inlineStr">
        <is>
          <t>JÖNKÖPINGS LÄN</t>
        </is>
      </c>
      <c r="G328" t="inlineStr">
        <is>
          <t>ANEBY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45537</v>
      </c>
      <c r="E329" s="1" t="n">
        <v>46241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45357</v>
      </c>
      <c r="E330" s="1" t="n">
        <v>46241</v>
      </c>
      <c r="F330" t="inlineStr">
        <is>
          <t>JÖNKÖPINGS LÄN</t>
        </is>
      </c>
      <c r="G330" t="inlineStr">
        <is>
          <t>ANEBY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46241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46241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45698</v>
      </c>
      <c r="E333" s="1" t="n">
        <v>46241</v>
      </c>
      <c r="F333" t="inlineStr">
        <is>
          <t>JÖNKÖPINGS LÄN</t>
        </is>
      </c>
      <c r="G333" t="inlineStr">
        <is>
          <t>ANEBY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45594</v>
      </c>
      <c r="E334" s="1" t="n">
        <v>46241</v>
      </c>
      <c r="F334" t="inlineStr">
        <is>
          <t>JÖNKÖPINGS LÄN</t>
        </is>
      </c>
      <c r="G334" t="inlineStr">
        <is>
          <t>ANEBY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45201</v>
      </c>
      <c r="E335" s="1" t="n">
        <v>46241</v>
      </c>
      <c r="F335" t="inlineStr">
        <is>
          <t>JÖNKÖPINGS LÄN</t>
        </is>
      </c>
      <c r="G335" t="inlineStr">
        <is>
          <t>ANEBY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45398</v>
      </c>
      <c r="E336" s="1" t="n">
        <v>46241</v>
      </c>
      <c r="F336" t="inlineStr">
        <is>
          <t>JÖNKÖPINGS LÄN</t>
        </is>
      </c>
      <c r="G336" t="inlineStr">
        <is>
          <t>ANEBY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46241</v>
      </c>
      <c r="F337" t="inlineStr">
        <is>
          <t>JÖNKÖPINGS LÄN</t>
        </is>
      </c>
      <c r="G337" t="inlineStr">
        <is>
          <t>ANEBY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46241</v>
      </c>
      <c r="F338" t="inlineStr">
        <is>
          <t>JÖNKÖPINGS LÄN</t>
        </is>
      </c>
      <c r="G338" t="inlineStr">
        <is>
          <t>ANEBY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46241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46241</v>
      </c>
      <c r="F340" t="inlineStr">
        <is>
          <t>JÖNKÖPINGS LÄN</t>
        </is>
      </c>
      <c r="G340" t="inlineStr">
        <is>
          <t>ANEBY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46241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16.8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46241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32554-2025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46241</v>
      </c>
      <c r="F343" t="inlineStr">
        <is>
          <t>JÖNKÖPINGS LÄN</t>
        </is>
      </c>
      <c r="G343" t="inlineStr">
        <is>
          <t>ANEBY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45688</v>
      </c>
      <c r="E344" s="1" t="n">
        <v>46241</v>
      </c>
      <c r="F344" t="inlineStr">
        <is>
          <t>JÖNKÖPINGS LÄN</t>
        </is>
      </c>
      <c r="G344" t="inlineStr">
        <is>
          <t>ANEBY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805-2022</t>
        </is>
      </c>
      <c r="B345" t="inlineStr">
        <is>
          <t>samrådsanmälan</t>
        </is>
      </c>
      <c r="C345" t="inlineStr">
        <is>
          <t>Skogsbilväg</t>
        </is>
      </c>
      <c r="D345" s="1" t="n">
        <v>44603</v>
      </c>
      <c r="E345" s="1" t="n">
        <v>46241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5767-2022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44848</v>
      </c>
      <c r="E346" s="1" t="n">
        <v>46241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6633-2022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46241</v>
      </c>
      <c r="F347" t="inlineStr">
        <is>
          <t>JÖNKÖPINGS LÄN</t>
        </is>
      </c>
      <c r="G347" t="inlineStr">
        <is>
          <t>ANEBY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1677-2023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45063</v>
      </c>
      <c r="E348" s="1" t="n">
        <v>46241</v>
      </c>
      <c r="F348" t="inlineStr">
        <is>
          <t>JÖNKÖPINGS LÄN</t>
        </is>
      </c>
      <c r="G348" t="inlineStr">
        <is>
          <t>ANEBY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7492-2021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44475</v>
      </c>
      <c r="E349" s="1" t="n">
        <v>46241</v>
      </c>
      <c r="F349" t="inlineStr">
        <is>
          <t>JÖNKÖPINGS LÄN</t>
        </is>
      </c>
      <c r="G349" t="inlineStr">
        <is>
          <t>ANEBY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3586-2024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45546</v>
      </c>
      <c r="E350" s="1" t="n">
        <v>46241</v>
      </c>
      <c r="F350" t="inlineStr">
        <is>
          <t>JÖNKÖPINGS LÄN</t>
        </is>
      </c>
      <c r="G350" t="inlineStr">
        <is>
          <t>ANEBY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6631-2022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46241</v>
      </c>
      <c r="F351" t="inlineStr">
        <is>
          <t>JÖNKÖPINGS LÄN</t>
        </is>
      </c>
      <c r="G351" t="inlineStr">
        <is>
          <t>ANEBY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1729-2023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45069</v>
      </c>
      <c r="E352" s="1" t="n">
        <v>46241</v>
      </c>
      <c r="F352" t="inlineStr">
        <is>
          <t>JÖNKÖPINGS LÄN</t>
        </is>
      </c>
      <c r="G352" t="inlineStr">
        <is>
          <t>ANEBY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2550-2023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45135</v>
      </c>
      <c r="E353" s="1" t="n">
        <v>46241</v>
      </c>
      <c r="F353" t="inlineStr">
        <is>
          <t>JÖNKÖPINGS LÄN</t>
        </is>
      </c>
      <c r="G353" t="inlineStr">
        <is>
          <t>ANEBY</t>
        </is>
      </c>
      <c r="I353" t="n">
        <v>58.3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6634-2022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46241</v>
      </c>
      <c r="F354" t="inlineStr">
        <is>
          <t>JÖNKÖPINGS LÄN</t>
        </is>
      </c>
      <c r="G354" t="inlineStr">
        <is>
          <t>ANEBY</t>
        </is>
      </c>
      <c r="I354" t="n">
        <v>34.3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6623-2022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46241</v>
      </c>
      <c r="F355" t="inlineStr">
        <is>
          <t>JÖNKÖPINGS LÄN</t>
        </is>
      </c>
      <c r="G355" t="inlineStr">
        <is>
          <t>ANEBY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469-2025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45702</v>
      </c>
      <c r="E356" s="1" t="n">
        <v>46241</v>
      </c>
      <c r="F356" t="inlineStr">
        <is>
          <t>JÖNKÖPINGS LÄN</t>
        </is>
      </c>
      <c r="G356" t="inlineStr">
        <is>
          <t>ANEBY</t>
        </is>
      </c>
      <c r="I356" t="n">
        <v>22.8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46029</v>
      </c>
      <c r="E357" s="1" t="n">
        <v>46241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>
      <c r="A358" t="inlineStr">
        <is>
          <t>S 1152-2026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46135</v>
      </c>
      <c r="E358" s="1" t="n">
        <v>46241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2026-08-07T01:55:46Z</dcterms:created>
  <dcterms:modified xmlns:dcterms="http://purl.org/dc/terms/" xmlns:xsi="http://www.w3.org/2001/XMLSchema-instance" xsi:type="dcterms:W3CDTF">2026-08-07T01:55:46Z</dcterms:modified>
</cp:coreProperties>
</file>