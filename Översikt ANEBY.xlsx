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46302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46302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46302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46302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46302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46302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46302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46302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46302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46302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46302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46302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46302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46302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46302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60716-2025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45996</v>
      </c>
      <c r="E17" s="1" t="n">
        <v>46302</v>
      </c>
      <c r="F17" t="inlineStr">
        <is>
          <t>JÖNKÖPINGS LÄN</t>
        </is>
      </c>
      <c r="G17" t="inlineStr">
        <is>
          <t>ANEBY</t>
        </is>
      </c>
      <c r="I17" t="n">
        <v>4.8</v>
      </c>
      <c r="J17" t="n">
        <v>1</v>
      </c>
      <c r="K17" t="n">
        <v>3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Knärot
Brandticka
Bronshjon
Vågbandad barkbock</t>
        </is>
      </c>
      <c r="W17">
        <f>HYPERLINK("https://klasma.github.io/Logging_0604/artfynd/A 60716-2025 artfynd.xlsx", "A 60716-2025")</f>
        <v/>
      </c>
      <c r="X17">
        <f>HYPERLINK("https://klasma.github.io/Logging_0604/kartor/A 60716-2025 karta.png", "A 60716-2025")</f>
        <v/>
      </c>
      <c r="Y17">
        <f>HYPERLINK("https://klasma.github.io/Logging_0604/kartor_geotiff/A 60716-2025 georefererad karta.tif", "A 60716-2025")</f>
        <v/>
      </c>
      <c r="Z17">
        <f>HYPERLINK("https://klasma.github.io/Logging_0604/knärot/A 60716-2025 karta knärot.png", "A 60716-2025")</f>
        <v/>
      </c>
      <c r="AA17">
        <f>HYPERLINK("https://klasma.github.io/Logging_0604/klagomål/A 60716-2025 FSC-klagomål.docx", "A 60716-2025")</f>
        <v/>
      </c>
      <c r="AB17">
        <f>HYPERLINK("https://klasma.github.io/Logging_0604/klagomålsmail/A 60716-2025 FSC-klagomål mail.docx", "A 60716-2025")</f>
        <v/>
      </c>
      <c r="AC17">
        <f>HYPERLINK("https://klasma.github.io/Logging_0604/tillsyn/A 60716-2025 tillsynsbegäran.docx", "A 60716-2025")</f>
        <v/>
      </c>
      <c r="AD17">
        <f>HYPERLINK("https://klasma.github.io/Logging_0604/tillsynsmail/A 60716-2025 tillsynsbegäran mail.docx", "A 60716-2025")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46302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46302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46302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46302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46302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46302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10301-2024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45365</v>
      </c>
      <c r="E24" s="1" t="n">
        <v>46302</v>
      </c>
      <c r="F24" t="inlineStr">
        <is>
          <t>JÖNKÖPINGS LÄN</t>
        </is>
      </c>
      <c r="G24" t="inlineStr">
        <is>
          <t>ANEBY</t>
        </is>
      </c>
      <c r="H24" t="inlineStr">
        <is>
          <t>Sveaskog</t>
        </is>
      </c>
      <c r="I24" t="n">
        <v>2.7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Grönvit nattviol</t>
        </is>
      </c>
      <c r="W24">
        <f>HYPERLINK("https://klasma.github.io/Logging_0604/artfynd/A 10301-2024 artfynd.xlsx", "A 10301-2024")</f>
        <v/>
      </c>
      <c r="X24">
        <f>HYPERLINK("https://klasma.github.io/Logging_0604/kartor/A 10301-2024 karta.png", "A 10301-2024")</f>
        <v/>
      </c>
      <c r="Y24">
        <f>HYPERLINK("https://klasma.github.io/Logging_0604/kartor_geotiff/A 10301-2024 georefererad karta.tif", "A 10301-2024")</f>
        <v/>
      </c>
      <c r="AA24">
        <f>HYPERLINK("https://klasma.github.io/Logging_0604/klagomål/A 10301-2024 FSC-klagomål.docx", "A 10301-2024")</f>
        <v/>
      </c>
      <c r="AB24">
        <f>HYPERLINK("https://klasma.github.io/Logging_0604/klagomålsmail/A 10301-2024 FSC-klagomål mail.docx", "A 10301-2024")</f>
        <v/>
      </c>
      <c r="AC24">
        <f>HYPERLINK("https://klasma.github.io/Logging_0604/tillsyn/A 10301-2024 tillsynsbegäran.docx", "A 10301-2024")</f>
        <v/>
      </c>
      <c r="AD24">
        <f>HYPERLINK("https://klasma.github.io/Logging_0604/tillsynsmail/A 10301-2024 tillsynsbegäran mail.docx", "A 10301-2024")</f>
        <v/>
      </c>
      <c r="AE24">
        <f>HYPERLINK("https://klasma.github.io/Logging_0604/fåglar/A 10301-2024 prioriterade fågelarter.docx", "A 10301-2024")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46302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49437-2023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46302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Gullpudra
Kungsfågel</t>
        </is>
      </c>
      <c r="W26">
        <f>HYPERLINK("https://klasma.github.io/Logging_0604/artfynd/A 49437-2023 artfynd.xlsx", "A 49437-2023")</f>
        <v/>
      </c>
      <c r="X26">
        <f>HYPERLINK("https://klasma.github.io/Logging_0604/kartor/A 49437-2023 karta.png", "A 49437-2023")</f>
        <v/>
      </c>
      <c r="Y26">
        <f>HYPERLINK("https://klasma.github.io/Logging_0604/kartor_geotiff/A 49437-2023 georefererad karta.tif", "A 49437-2023")</f>
        <v/>
      </c>
      <c r="AA26">
        <f>HYPERLINK("https://klasma.github.io/Logging_0604/klagomål/A 49437-2023 FSC-klagomål.docx", "A 49437-2023")</f>
        <v/>
      </c>
      <c r="AB26">
        <f>HYPERLINK("https://klasma.github.io/Logging_0604/klagomålsmail/A 49437-2023 FSC-klagomål mail.docx", "A 49437-2023")</f>
        <v/>
      </c>
      <c r="AC26">
        <f>HYPERLINK("https://klasma.github.io/Logging_0604/tillsyn/A 49437-2023 tillsynsbegäran.docx", "A 49437-2023")</f>
        <v/>
      </c>
      <c r="AD26">
        <f>HYPERLINK("https://klasma.github.io/Logging_0604/tillsynsmail/A 49437-2023 tillsynsbegäran mail.docx", "A 49437-2023")</f>
        <v/>
      </c>
    </row>
    <row r="27" ht="15" customHeight="1">
      <c r="A27" t="inlineStr">
        <is>
          <t>A 27285-2026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46184</v>
      </c>
      <c r="E27" s="1" t="n">
        <v>46302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Grönsiska
Kungsfågel</t>
        </is>
      </c>
      <c r="W27">
        <f>HYPERLINK("https://klasma.github.io/Logging_0604/artfynd/A 27285-2026 artfynd.xlsx", "A 27285-2026")</f>
        <v/>
      </c>
      <c r="X27">
        <f>HYPERLINK("https://klasma.github.io/Logging_0604/kartor/A 27285-2026 karta.png", "A 27285-2026")</f>
        <v/>
      </c>
      <c r="Y27">
        <f>HYPERLINK("https://klasma.github.io/Logging_0604/kartor_geotiff/A 27285-2026 georefererad karta.tif", "A 27285-2026")</f>
        <v/>
      </c>
      <c r="AA27">
        <f>HYPERLINK("https://klasma.github.io/Logging_0604/klagomål/A 27285-2026 FSC-klagomål.docx", "A 27285-2026")</f>
        <v/>
      </c>
      <c r="AB27">
        <f>HYPERLINK("https://klasma.github.io/Logging_0604/klagomålsmail/A 27285-2026 FSC-klagomål mail.docx", "A 27285-2026")</f>
        <v/>
      </c>
      <c r="AC27">
        <f>HYPERLINK("https://klasma.github.io/Logging_0604/tillsyn/A 27285-2026 tillsynsbegäran.docx", "A 27285-2026")</f>
        <v/>
      </c>
      <c r="AD27">
        <f>HYPERLINK("https://klasma.github.io/Logging_0604/tillsynsmail/A 27285-2026 tillsynsbegäran mail.docx", "A 27285-2026")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46302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46302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28452-2022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44747</v>
      </c>
      <c r="E30" s="1" t="n">
        <v>46302</v>
      </c>
      <c r="F30" t="inlineStr">
        <is>
          <t>JÖNKÖPINGS LÄN</t>
        </is>
      </c>
      <c r="G30" t="inlineStr">
        <is>
          <t>ANEBY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Odontocerum albicorne</t>
        </is>
      </c>
      <c r="W30">
        <f>HYPERLINK("https://klasma.github.io/Logging_0604/artfynd/A 28452-2022 artfynd.xlsx", "A 28452-2022")</f>
        <v/>
      </c>
      <c r="X30">
        <f>HYPERLINK("https://klasma.github.io/Logging_0604/kartor/A 28452-2022 karta.png", "A 28452-2022")</f>
        <v/>
      </c>
      <c r="Y30">
        <f>HYPERLINK("https://klasma.github.io/Logging_0604/kartor_geotiff/A 28452-2022 georefererad karta.tif", "A 28452-2022")</f>
        <v/>
      </c>
      <c r="AA30">
        <f>HYPERLINK("https://klasma.github.io/Logging_0604/klagomål/A 28452-2022 FSC-klagomål.docx", "A 28452-2022")</f>
        <v/>
      </c>
      <c r="AB30">
        <f>HYPERLINK("https://klasma.github.io/Logging_0604/klagomålsmail/A 28452-2022 FSC-klagomål mail.docx", "A 28452-2022")</f>
        <v/>
      </c>
      <c r="AC30">
        <f>HYPERLINK("https://klasma.github.io/Logging_0604/tillsyn/A 28452-2022 tillsynsbegäran.docx", "A 28452-2022")</f>
        <v/>
      </c>
      <c r="AD30">
        <f>HYPERLINK("https://klasma.github.io/Logging_0604/tillsynsmail/A 28452-2022 tillsynsbegäran mail.docx", "A 28452-2022")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46302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25875-2024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45467</v>
      </c>
      <c r="E32" s="1" t="n">
        <v>46302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HYPERLINK("https://klasma.github.io/Logging_0604/artfynd/A 25875-2024 artfynd.xlsx", "A 25875-2024")</f>
        <v/>
      </c>
      <c r="X32">
        <f>HYPERLINK("https://klasma.github.io/Logging_0604/kartor/A 25875-2024 karta.png", "A 25875-2024")</f>
        <v/>
      </c>
      <c r="Y32">
        <f>HYPERLINK("https://klasma.github.io/Logging_0604/kartor_geotiff/A 25875-2024 georefererad karta.tif", "A 25875-2024")</f>
        <v/>
      </c>
      <c r="AA32">
        <f>HYPERLINK("https://klasma.github.io/Logging_0604/klagomål/A 25875-2024 FSC-klagomål.docx", "A 25875-2024")</f>
        <v/>
      </c>
      <c r="AB32">
        <f>HYPERLINK("https://klasma.github.io/Logging_0604/klagomålsmail/A 25875-2024 FSC-klagomål mail.docx", "A 25875-2024")</f>
        <v/>
      </c>
      <c r="AC32">
        <f>HYPERLINK("https://klasma.github.io/Logging_0604/tillsyn/A 25875-2024 tillsynsbegäran.docx", "A 25875-2024")</f>
        <v/>
      </c>
      <c r="AD32">
        <f>HYPERLINK("https://klasma.github.io/Logging_0604/tillsynsmail/A 25875-2024 tillsynsbegäran mail.docx", "A 25875-2024")</f>
        <v/>
      </c>
    </row>
    <row r="33" ht="15" customHeight="1">
      <c r="A33" t="inlineStr">
        <is>
          <t>A 48560-2025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45936</v>
      </c>
      <c r="E33" s="1" t="n">
        <v>46302</v>
      </c>
      <c r="F33" t="inlineStr">
        <is>
          <t>JÖNKÖPINGS LÄN</t>
        </is>
      </c>
      <c r="G33" t="inlineStr">
        <is>
          <t>ANEBY</t>
        </is>
      </c>
      <c r="I33" t="n">
        <v>0.4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Dofttaggsvamp</t>
        </is>
      </c>
      <c r="W33">
        <f>HYPERLINK("https://klasma.github.io/Logging_0604/artfynd/A 48560-2025 artfynd.xlsx", "A 48560-2025")</f>
        <v/>
      </c>
      <c r="X33">
        <f>HYPERLINK("https://klasma.github.io/Logging_0604/kartor/A 48560-2025 karta.png", "A 48560-2025")</f>
        <v/>
      </c>
      <c r="Y33">
        <f>HYPERLINK("https://klasma.github.io/Logging_0604/kartor_geotiff/A 48560-2025 georefererad karta.tif", "A 48560-2025")</f>
        <v/>
      </c>
      <c r="AA33">
        <f>HYPERLINK("https://klasma.github.io/Logging_0604/klagomål/A 48560-2025 FSC-klagomål.docx", "A 48560-2025")</f>
        <v/>
      </c>
      <c r="AB33">
        <f>HYPERLINK("https://klasma.github.io/Logging_0604/klagomålsmail/A 48560-2025 FSC-klagomål mail.docx", "A 48560-2025")</f>
        <v/>
      </c>
      <c r="AC33">
        <f>HYPERLINK("https://klasma.github.io/Logging_0604/tillsyn/A 48560-2025 tillsynsbegäran.docx", "A 48560-2025")</f>
        <v/>
      </c>
      <c r="AD33">
        <f>HYPERLINK("https://klasma.github.io/Logging_0604/tillsynsmail/A 48560-2025 tillsynsbegäran mail.docx", "A 48560-2025")</f>
        <v/>
      </c>
    </row>
    <row r="34" ht="15" customHeight="1">
      <c r="A34" t="inlineStr">
        <is>
          <t>A 8117-2025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45707</v>
      </c>
      <c r="E34" s="1" t="n">
        <v>46302</v>
      </c>
      <c r="F34" t="inlineStr">
        <is>
          <t>JÖNKÖPINGS LÄN</t>
        </is>
      </c>
      <c r="G34" t="inlineStr">
        <is>
          <t>ANEBY</t>
        </is>
      </c>
      <c r="I34" t="n">
        <v>2.3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Enkelbeckasin</t>
        </is>
      </c>
      <c r="W34">
        <f>HYPERLINK("https://klasma.github.io/Logging_0604/artfynd/A 8117-2025 artfynd.xlsx", "A 8117-2025")</f>
        <v/>
      </c>
      <c r="X34">
        <f>HYPERLINK("https://klasma.github.io/Logging_0604/kartor/A 8117-2025 karta.png", "A 8117-2025")</f>
        <v/>
      </c>
      <c r="Y34">
        <f>HYPERLINK("https://klasma.github.io/Logging_0604/kartor_geotiff/A 8117-2025 georefererad karta.tif", "A 8117-2025")</f>
        <v/>
      </c>
      <c r="AA34">
        <f>HYPERLINK("https://klasma.github.io/Logging_0604/klagomål/A 8117-2025 FSC-klagomål.docx", "A 8117-2025")</f>
        <v/>
      </c>
      <c r="AB34">
        <f>HYPERLINK("https://klasma.github.io/Logging_0604/klagomålsmail/A 8117-2025 FSC-klagomål mail.docx", "A 8117-2025")</f>
        <v/>
      </c>
      <c r="AC34">
        <f>HYPERLINK("https://klasma.github.io/Logging_0604/tillsyn/A 8117-2025 tillsynsbegäran.docx", "A 8117-2025")</f>
        <v/>
      </c>
      <c r="AD34">
        <f>HYPERLINK("https://klasma.github.io/Logging_0604/tillsynsmail/A 8117-2025 tillsynsbegäran mail.docx", "A 8117-2025")</f>
        <v/>
      </c>
      <c r="AE34">
        <f>HYPERLINK("https://klasma.github.io/Logging_0604/fåglar/A 8117-2025 prioriterade fågelarter.docx", "A 8117-2025")</f>
        <v/>
      </c>
    </row>
    <row r="35" ht="15" customHeight="1">
      <c r="A35" t="inlineStr">
        <is>
          <t>A 24863-2024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45461</v>
      </c>
      <c r="E35" s="1" t="n">
        <v>46302</v>
      </c>
      <c r="F35" t="inlineStr">
        <is>
          <t>JÖNKÖPINGS LÄN</t>
        </is>
      </c>
      <c r="G35" t="inlineStr">
        <is>
          <t>ANEBY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Järpe</t>
        </is>
      </c>
      <c r="W35">
        <f>HYPERLINK("https://klasma.github.io/Logging_0604/artfynd/A 24863-2024 artfynd.xlsx", "A 24863-2024")</f>
        <v/>
      </c>
      <c r="X35">
        <f>HYPERLINK("https://klasma.github.io/Logging_0604/kartor/A 24863-2024 karta.png", "A 24863-2024")</f>
        <v/>
      </c>
      <c r="Y35">
        <f>HYPERLINK("https://klasma.github.io/Logging_0604/kartor_geotiff/A 24863-2024 georefererad karta.tif", "A 24863-2024")</f>
        <v/>
      </c>
      <c r="AA35">
        <f>HYPERLINK("https://klasma.github.io/Logging_0604/klagomål/A 24863-2024 FSC-klagomål.docx", "A 24863-2024")</f>
        <v/>
      </c>
      <c r="AB35">
        <f>HYPERLINK("https://klasma.github.io/Logging_0604/klagomålsmail/A 24863-2024 FSC-klagomål mail.docx", "A 24863-2024")</f>
        <v/>
      </c>
      <c r="AC35">
        <f>HYPERLINK("https://klasma.github.io/Logging_0604/tillsyn/A 24863-2024 tillsynsbegäran.docx", "A 24863-2024")</f>
        <v/>
      </c>
      <c r="AD35">
        <f>HYPERLINK("https://klasma.github.io/Logging_0604/tillsynsmail/A 24863-2024 tillsynsbegäran mail.docx", "A 24863-2024")</f>
        <v/>
      </c>
      <c r="AE35">
        <f>HYPERLINK("https://klasma.github.io/Logging_0604/fåglar/A 24863-2024 prioriterade fågelarter.docx", "A 24863-2024")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46302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24820-2026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46174</v>
      </c>
      <c r="E37" s="1" t="n">
        <v>46302</v>
      </c>
      <c r="F37" t="inlineStr">
        <is>
          <t>JÖNKÖPINGS LÄN</t>
        </is>
      </c>
      <c r="G37" t="inlineStr">
        <is>
          <t>ANEBY</t>
        </is>
      </c>
      <c r="H37" t="inlineStr">
        <is>
          <t>Sveaskog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0</v>
      </c>
      <c r="V37" s="2" t="inlineStr">
        <is>
          <t>Grönvit nattviol</t>
        </is>
      </c>
      <c r="W37">
        <f>HYPERLINK("https://klasma.github.io/Logging_0604/artfynd/A 24820-2026 artfynd.xlsx", "A 24820-2026")</f>
        <v/>
      </c>
      <c r="X37">
        <f>HYPERLINK("https://klasma.github.io/Logging_0604/kartor/A 24820-2026 karta.png", "A 24820-2026")</f>
        <v/>
      </c>
      <c r="Y37">
        <f>HYPERLINK("https://klasma.github.io/Logging_0604/kartor_geotiff/A 24820-2026 georefererad karta.tif", "A 24820-2026")</f>
        <v/>
      </c>
      <c r="AA37">
        <f>HYPERLINK("https://klasma.github.io/Logging_0604/klagomål/A 24820-2026 FSC-klagomål.docx", "A 24820-2026")</f>
        <v/>
      </c>
      <c r="AB37">
        <f>HYPERLINK("https://klasma.github.io/Logging_0604/klagomålsmail/A 24820-2026 FSC-klagomål mail.docx", "A 24820-2026")</f>
        <v/>
      </c>
      <c r="AC37">
        <f>HYPERLINK("https://klasma.github.io/Logging_0604/tillsyn/A 24820-2026 tillsynsbegäran.docx", "A 24820-2026")</f>
        <v/>
      </c>
      <c r="AD37">
        <f>HYPERLINK("https://klasma.github.io/Logging_0604/tillsynsmail/A 24820-2026 tillsynsbegäran mail.docx", "A 24820-2026")</f>
        <v/>
      </c>
    </row>
    <row r="38" ht="15" customHeight="1">
      <c r="A38" t="inlineStr">
        <is>
          <t>A 25891-2026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46302</v>
      </c>
      <c r="F38" t="inlineStr">
        <is>
          <t>JÖNKÖPINGS LÄN</t>
        </is>
      </c>
      <c r="G38" t="inlineStr">
        <is>
          <t>ANEBY</t>
        </is>
      </c>
      <c r="I38" t="n">
        <v>5.6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 ängsmaskros</t>
        </is>
      </c>
      <c r="W38">
        <f>HYPERLINK("https://klasma.github.io/Logging_0604/artfynd/A 25891-2026 artfynd.xlsx", "A 25891-2026")</f>
        <v/>
      </c>
      <c r="X38">
        <f>HYPERLINK("https://klasma.github.io/Logging_0604/kartor/A 25891-2026 karta.png", "A 25891-2026")</f>
        <v/>
      </c>
      <c r="Y38">
        <f>HYPERLINK("https://klasma.github.io/Logging_0604/kartor_geotiff/A 25891-2026 georefererad karta.tif", "A 25891-2026")</f>
        <v/>
      </c>
      <c r="AA38">
        <f>HYPERLINK("https://klasma.github.io/Logging_0604/klagomål/A 25891-2026 FSC-klagomål.docx", "A 25891-2026")</f>
        <v/>
      </c>
      <c r="AB38">
        <f>HYPERLINK("https://klasma.github.io/Logging_0604/klagomålsmail/A 25891-2026 FSC-klagomål mail.docx", "A 25891-2026")</f>
        <v/>
      </c>
      <c r="AC38">
        <f>HYPERLINK("https://klasma.github.io/Logging_0604/tillsyn/A 25891-2026 tillsynsbegäran.docx", "A 25891-2026")</f>
        <v/>
      </c>
      <c r="AD38">
        <f>HYPERLINK("https://klasma.github.io/Logging_0604/tillsynsmail/A 25891-2026 tillsynsbegäran mail.docx", "A 25891-2026")</f>
        <v/>
      </c>
    </row>
    <row r="39" ht="15" customHeight="1">
      <c r="A39" t="inlineStr">
        <is>
          <t>A 10010-2023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44985</v>
      </c>
      <c r="E39" s="1" t="n">
        <v>46302</v>
      </c>
      <c r="F39" t="inlineStr">
        <is>
          <t>JÖNKÖPINGS LÄN</t>
        </is>
      </c>
      <c r="G39" t="inlineStr">
        <is>
          <t>ANEBY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Ask</t>
        </is>
      </c>
      <c r="W39">
        <f>HYPERLINK("https://klasma.github.io/Logging_0604/artfynd/A 10010-2023 artfynd.xlsx", "A 10010-2023")</f>
        <v/>
      </c>
      <c r="X39">
        <f>HYPERLINK("https://klasma.github.io/Logging_0604/kartor/A 10010-2023 karta.png", "A 10010-2023")</f>
        <v/>
      </c>
      <c r="Y39">
        <f>HYPERLINK("https://klasma.github.io/Logging_0604/kartor_geotiff/A 10010-2023 georefererad karta.tif", "A 10010-2023")</f>
        <v/>
      </c>
      <c r="AA39">
        <f>HYPERLINK("https://klasma.github.io/Logging_0604/klagomål/A 10010-2023 FSC-klagomål.docx", "A 10010-2023")</f>
        <v/>
      </c>
      <c r="AB39">
        <f>HYPERLINK("https://klasma.github.io/Logging_0604/klagomålsmail/A 10010-2023 FSC-klagomål mail.docx", "A 10010-2023")</f>
        <v/>
      </c>
      <c r="AC39">
        <f>HYPERLINK("https://klasma.github.io/Logging_0604/tillsyn/A 10010-2023 tillsynsbegäran.docx", "A 10010-2023")</f>
        <v/>
      </c>
      <c r="AD39">
        <f>HYPERLINK("https://klasma.github.io/Logging_0604/tillsynsmail/A 10010-2023 tillsynsbegäran mail.docx", "A 10010-2023")</f>
        <v/>
      </c>
    </row>
    <row r="40" ht="15" customHeight="1">
      <c r="A40" t="inlineStr">
        <is>
          <t>A 26784-2022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44740</v>
      </c>
      <c r="E40" s="1" t="n">
        <v>46302</v>
      </c>
      <c r="F40" t="inlineStr">
        <is>
          <t>JÖNKÖPINGS LÄN</t>
        </is>
      </c>
      <c r="G40" t="inlineStr">
        <is>
          <t>ANEBY</t>
        </is>
      </c>
      <c r="I40" t="n">
        <v>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Vårstarr</t>
        </is>
      </c>
      <c r="W40">
        <f>HYPERLINK("https://klasma.github.io/Logging_0604/artfynd/A 26784-2022 artfynd.xlsx", "A 26784-2022")</f>
        <v/>
      </c>
      <c r="X40">
        <f>HYPERLINK("https://klasma.github.io/Logging_0604/kartor/A 26784-2022 karta.png", "A 26784-2022")</f>
        <v/>
      </c>
      <c r="Y40">
        <f>HYPERLINK("https://klasma.github.io/Logging_0604/kartor_geotiff/A 26784-2022 georefererad karta.tif", "A 26784-2022")</f>
        <v/>
      </c>
      <c r="AA40">
        <f>HYPERLINK("https://klasma.github.io/Logging_0604/klagomål/A 26784-2022 FSC-klagomål.docx", "A 26784-2022")</f>
        <v/>
      </c>
      <c r="AB40">
        <f>HYPERLINK("https://klasma.github.io/Logging_0604/klagomålsmail/A 26784-2022 FSC-klagomål mail.docx", "A 26784-2022")</f>
        <v/>
      </c>
      <c r="AC40">
        <f>HYPERLINK("https://klasma.github.io/Logging_0604/tillsyn/A 26784-2022 tillsynsbegäran.docx", "A 26784-2022")</f>
        <v/>
      </c>
      <c r="AD40">
        <f>HYPERLINK("https://klasma.github.io/Logging_0604/tillsynsmail/A 26784-2022 tillsynsbegäran mail.docx", "A 26784-2022")</f>
        <v/>
      </c>
    </row>
    <row r="41" ht="15" customHeight="1">
      <c r="A41" t="inlineStr">
        <is>
          <t>A 412-2022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44565</v>
      </c>
      <c r="E41" s="1" t="n">
        <v>46302</v>
      </c>
      <c r="F41" t="inlineStr">
        <is>
          <t>JÖNKÖPINGS LÄN</t>
        </is>
      </c>
      <c r="G41" t="inlineStr">
        <is>
          <t>ANEBY</t>
        </is>
      </c>
      <c r="I41" t="n">
        <v>6.7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HYPERLINK("https://klasma.github.io/Logging_0604/artfynd/A 412-2022 artfynd.xlsx", "A 412-2022")</f>
        <v/>
      </c>
      <c r="X41">
        <f>HYPERLINK("https://klasma.github.io/Logging_0604/kartor/A 412-2022 karta.png", "A 412-2022")</f>
        <v/>
      </c>
      <c r="Y41">
        <f>HYPERLINK("https://klasma.github.io/Logging_0604/kartor_geotiff/A 412-2022 georefererad karta.tif", "A 412-2022")</f>
        <v/>
      </c>
      <c r="AA41">
        <f>HYPERLINK("https://klasma.github.io/Logging_0604/klagomål/A 412-2022 FSC-klagomål.docx", "A 412-2022")</f>
        <v/>
      </c>
      <c r="AB41">
        <f>HYPERLINK("https://klasma.github.io/Logging_0604/klagomålsmail/A 412-2022 FSC-klagomål mail.docx", "A 412-2022")</f>
        <v/>
      </c>
      <c r="AC41">
        <f>HYPERLINK("https://klasma.github.io/Logging_0604/tillsyn/A 412-2022 tillsynsbegäran.docx", "A 412-2022")</f>
        <v/>
      </c>
      <c r="AD41">
        <f>HYPERLINK("https://klasma.github.io/Logging_0604/tillsynsmail/A 412-2022 tillsynsbegäran mail.docx", "A 412-2022")</f>
        <v/>
      </c>
    </row>
    <row r="42" ht="15" customHeight="1">
      <c r="A42" t="inlineStr">
        <is>
          <t>A 38728-2024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46302</v>
      </c>
      <c r="F42" t="inlineStr">
        <is>
          <t>JÖNKÖPINGS LÄN</t>
        </is>
      </c>
      <c r="G42" t="inlineStr">
        <is>
          <t>ANEBY</t>
        </is>
      </c>
      <c r="I42" t="n">
        <v>5.5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Talltita</t>
        </is>
      </c>
      <c r="W42">
        <f>HYPERLINK("https://klasma.github.io/Logging_0604/artfynd/A 38728-2024 artfynd.xlsx", "A 38728-2024")</f>
        <v/>
      </c>
      <c r="X42">
        <f>HYPERLINK("https://klasma.github.io/Logging_0604/kartor/A 38728-2024 karta.png", "A 38728-2024")</f>
        <v/>
      </c>
      <c r="Y42">
        <f>HYPERLINK("https://klasma.github.io/Logging_0604/kartor_geotiff/A 38728-2024 georefererad karta.tif", "A 38728-2024")</f>
        <v/>
      </c>
      <c r="AA42">
        <f>HYPERLINK("https://klasma.github.io/Logging_0604/klagomål/A 38728-2024 FSC-klagomål.docx", "A 38728-2024")</f>
        <v/>
      </c>
      <c r="AB42">
        <f>HYPERLINK("https://klasma.github.io/Logging_0604/klagomålsmail/A 38728-2024 FSC-klagomål mail.docx", "A 38728-2024")</f>
        <v/>
      </c>
      <c r="AC42">
        <f>HYPERLINK("https://klasma.github.io/Logging_0604/tillsyn/A 38728-2024 tillsynsbegäran.docx", "A 38728-2024")</f>
        <v/>
      </c>
      <c r="AD42">
        <f>HYPERLINK("https://klasma.github.io/Logging_0604/tillsynsmail/A 38728-2024 tillsynsbegäran mail.docx", "A 38728-2024")</f>
        <v/>
      </c>
      <c r="AE42">
        <f>HYPERLINK("https://klasma.github.io/Logging_0604/fåglar/A 38728-2024 prioriterade fågelarter.docx", "A 38728-2024")</f>
        <v/>
      </c>
    </row>
    <row r="43" ht="15" customHeight="1">
      <c r="A43" t="inlineStr">
        <is>
          <t>A 13163-2024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45386</v>
      </c>
      <c r="E43" s="1" t="n">
        <v>46302</v>
      </c>
      <c r="F43" t="inlineStr">
        <is>
          <t>JÖNKÖPINGS LÄN</t>
        </is>
      </c>
      <c r="G43" t="inlineStr">
        <is>
          <t>ANEBY</t>
        </is>
      </c>
      <c r="I43" t="n">
        <v>6.9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Lopplummer (aggregat)</t>
        </is>
      </c>
      <c r="W43">
        <f>HYPERLINK("https://klasma.github.io/Logging_0604/artfynd/A 13163-2024 artfynd.xlsx", "A 13163-2024")</f>
        <v/>
      </c>
      <c r="X43">
        <f>HYPERLINK("https://klasma.github.io/Logging_0604/kartor/A 13163-2024 karta.png", "A 13163-2024")</f>
        <v/>
      </c>
      <c r="Y43">
        <f>HYPERLINK("https://klasma.github.io/Logging_0604/kartor_geotiff/A 13163-2024 georefererad karta.tif", "A 13163-2024")</f>
        <v/>
      </c>
      <c r="AA43">
        <f>HYPERLINK("https://klasma.github.io/Logging_0604/klagomål/A 13163-2024 FSC-klagomål.docx", "A 13163-2024")</f>
        <v/>
      </c>
      <c r="AB43">
        <f>HYPERLINK("https://klasma.github.io/Logging_0604/klagomålsmail/A 13163-2024 FSC-klagomål mail.docx", "A 13163-2024")</f>
        <v/>
      </c>
      <c r="AC43">
        <f>HYPERLINK("https://klasma.github.io/Logging_0604/tillsyn/A 13163-2024 tillsynsbegäran.docx", "A 13163-2024")</f>
        <v/>
      </c>
      <c r="AD43">
        <f>HYPERLINK("https://klasma.github.io/Logging_0604/tillsynsmail/A 13163-2024 tillsynsbegäran mail.docx", "A 13163-2024")</f>
        <v/>
      </c>
    </row>
    <row r="44" ht="15" customHeight="1">
      <c r="A44" t="inlineStr">
        <is>
          <t>A 38338-2023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46302</v>
      </c>
      <c r="F44" t="inlineStr">
        <is>
          <t>JÖNKÖPINGS LÄN</t>
        </is>
      </c>
      <c r="G44" t="inlineStr">
        <is>
          <t>ANEBY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HYPERLINK("https://klasma.github.io/Logging_0604/artfynd/A 38338-2023 artfynd.xlsx", "A 38338-2023")</f>
        <v/>
      </c>
      <c r="X44">
        <f>HYPERLINK("https://klasma.github.io/Logging_0604/kartor/A 38338-2023 karta.png", "A 38338-2023")</f>
        <v/>
      </c>
      <c r="Y44">
        <f>HYPERLINK("https://klasma.github.io/Logging_0604/kartor_geotiff/A 38338-2023 georefererad karta.tif", "A 38338-2023")</f>
        <v/>
      </c>
      <c r="AA44">
        <f>HYPERLINK("https://klasma.github.io/Logging_0604/klagomål/A 38338-2023 FSC-klagomål.docx", "A 38338-2023")</f>
        <v/>
      </c>
      <c r="AB44">
        <f>HYPERLINK("https://klasma.github.io/Logging_0604/klagomålsmail/A 38338-2023 FSC-klagomål mail.docx", "A 38338-2023")</f>
        <v/>
      </c>
      <c r="AC44">
        <f>HYPERLINK("https://klasma.github.io/Logging_0604/tillsyn/A 38338-2023 tillsynsbegäran.docx", "A 38338-2023")</f>
        <v/>
      </c>
      <c r="AD44">
        <f>HYPERLINK("https://klasma.github.io/Logging_0604/tillsynsmail/A 38338-2023 tillsynsbegäran mail.docx", "A 38338-2023")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46302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53251-2023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46302</v>
      </c>
      <c r="F46" t="inlineStr">
        <is>
          <t>JÖNKÖPINGS LÄN</t>
        </is>
      </c>
      <c r="G46" t="inlineStr">
        <is>
          <t>ANEBY</t>
        </is>
      </c>
      <c r="I46" t="n">
        <v>2.2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HYPERLINK("https://klasma.github.io/Logging_0604/artfynd/A 53251-2023 artfynd.xlsx", "A 53251-2023")</f>
        <v/>
      </c>
      <c r="X46">
        <f>HYPERLINK("https://klasma.github.io/Logging_0604/kartor/A 53251-2023 karta.png", "A 53251-2023")</f>
        <v/>
      </c>
      <c r="Y46">
        <f>HYPERLINK("https://klasma.github.io/Logging_0604/kartor_geotiff/A 53251-2023 georefererad karta.tif", "A 53251-2023")</f>
        <v/>
      </c>
      <c r="AA46">
        <f>HYPERLINK("https://klasma.github.io/Logging_0604/klagomål/A 53251-2023 FSC-klagomål.docx", "A 53251-2023")</f>
        <v/>
      </c>
      <c r="AB46">
        <f>HYPERLINK("https://klasma.github.io/Logging_0604/klagomålsmail/A 53251-2023 FSC-klagomål mail.docx", "A 53251-2023")</f>
        <v/>
      </c>
      <c r="AC46">
        <f>HYPERLINK("https://klasma.github.io/Logging_0604/tillsyn/A 53251-2023 tillsynsbegäran.docx", "A 53251-2023")</f>
        <v/>
      </c>
      <c r="AD46">
        <f>HYPERLINK("https://klasma.github.io/Logging_0604/tillsynsmail/A 53251-2023 tillsynsbegäran mail.docx", "A 53251-2023")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46302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46302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46302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46302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46302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46302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46302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46302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46302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46302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46302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46302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46302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46302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46302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46302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46302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46302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46302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46302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46302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46302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46302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46302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46302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46302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46302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46302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46302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46302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46302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46302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46302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46302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46302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46302</v>
      </c>
      <c r="F82" t="inlineStr">
        <is>
          <t>JÖNKÖPINGS LÄN</t>
        </is>
      </c>
      <c r="G82" t="inlineStr">
        <is>
          <t>ANEBY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46302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46302</v>
      </c>
      <c r="F84" t="inlineStr">
        <is>
          <t>JÖNKÖPINGS LÄN</t>
        </is>
      </c>
      <c r="G84" t="inlineStr">
        <is>
          <t>ANEBY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45033</v>
      </c>
      <c r="E85" s="1" t="n">
        <v>46302</v>
      </c>
      <c r="F85" t="inlineStr">
        <is>
          <t>JÖNKÖPINGS LÄN</t>
        </is>
      </c>
      <c r="G85" t="inlineStr">
        <is>
          <t>ANEBY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46302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46302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46302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10354-2024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45365</v>
      </c>
      <c r="E89" s="1" t="n">
        <v>46302</v>
      </c>
      <c r="F89" t="inlineStr">
        <is>
          <t>JÖNKÖPINGS LÄN</t>
        </is>
      </c>
      <c r="G89" t="inlineStr">
        <is>
          <t>ANEBY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46302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46302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12655-2024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46302</v>
      </c>
      <c r="F92" t="inlineStr">
        <is>
          <t>JÖNKÖPINGS LÄN</t>
        </is>
      </c>
      <c r="G92" t="inlineStr">
        <is>
          <t>ANEBY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46302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49427-2023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45205</v>
      </c>
      <c r="E94" s="1" t="n">
        <v>46302</v>
      </c>
      <c r="F94" t="inlineStr">
        <is>
          <t>JÖNKÖPINGS LÄN</t>
        </is>
      </c>
      <c r="G94" t="inlineStr">
        <is>
          <t>ANEBY</t>
        </is>
      </c>
      <c r="H94" t="inlineStr">
        <is>
          <t>Övriga Aktiebolag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46302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46302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46302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46302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11565-2025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45727</v>
      </c>
      <c r="E99" s="1" t="n">
        <v>46302</v>
      </c>
      <c r="F99" t="inlineStr">
        <is>
          <t>JÖNKÖPINGS LÄN</t>
        </is>
      </c>
      <c r="G99" t="inlineStr">
        <is>
          <t>ANEBY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46302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61946-2024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45653</v>
      </c>
      <c r="E101" s="1" t="n">
        <v>46302</v>
      </c>
      <c r="F101" t="inlineStr">
        <is>
          <t>JÖNKÖPINGS LÄN</t>
        </is>
      </c>
      <c r="G101" t="inlineStr">
        <is>
          <t>ANEBY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46302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46302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54692-2023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45236</v>
      </c>
      <c r="E104" s="1" t="n">
        <v>46302</v>
      </c>
      <c r="F104" t="inlineStr">
        <is>
          <t>JÖNKÖPINGS LÄN</t>
        </is>
      </c>
      <c r="G104" t="inlineStr">
        <is>
          <t>ANEBY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24901-2024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45461</v>
      </c>
      <c r="E105" s="1" t="n">
        <v>46302</v>
      </c>
      <c r="F105" t="inlineStr">
        <is>
          <t>JÖNKÖPINGS LÄN</t>
        </is>
      </c>
      <c r="G105" t="inlineStr">
        <is>
          <t>ANEBY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46302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46030</v>
      </c>
      <c r="E107" s="1" t="n">
        <v>46302</v>
      </c>
      <c r="F107" t="inlineStr">
        <is>
          <t>JÖNKÖPINGS LÄN</t>
        </is>
      </c>
      <c r="G107" t="inlineStr">
        <is>
          <t>ANEBY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46302</v>
      </c>
      <c r="F108" t="inlineStr">
        <is>
          <t>JÖNKÖPINGS LÄN</t>
        </is>
      </c>
      <c r="G108" t="inlineStr">
        <is>
          <t>ANEBY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46302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46302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45304</v>
      </c>
      <c r="E111" s="1" t="n">
        <v>46302</v>
      </c>
      <c r="F111" t="inlineStr">
        <is>
          <t>JÖNKÖPINGS LÄN</t>
        </is>
      </c>
      <c r="G111" t="inlineStr">
        <is>
          <t>ANEBY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46302</v>
      </c>
      <c r="F112" t="inlineStr">
        <is>
          <t>JÖNKÖPINGS LÄN</t>
        </is>
      </c>
      <c r="G112" t="inlineStr">
        <is>
          <t>ANEBY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49484-2023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46302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27714-2024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45475</v>
      </c>
      <c r="E114" s="1" t="n">
        <v>46302</v>
      </c>
      <c r="F114" t="inlineStr">
        <is>
          <t>JÖNKÖPINGS LÄN</t>
        </is>
      </c>
      <c r="G114" t="inlineStr">
        <is>
          <t>ANEBY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52267-2024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45608</v>
      </c>
      <c r="E115" s="1" t="n">
        <v>46302</v>
      </c>
      <c r="F115" t="inlineStr">
        <is>
          <t>JÖNKÖPINGS LÄN</t>
        </is>
      </c>
      <c r="G115" t="inlineStr">
        <is>
          <t>ANEBY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35417-2023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46302</v>
      </c>
      <c r="F116" t="inlineStr">
        <is>
          <t>JÖNKÖPINGS LÄN</t>
        </is>
      </c>
      <c r="G116" t="inlineStr">
        <is>
          <t>ANEBY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46302</v>
      </c>
      <c r="F117" t="inlineStr">
        <is>
          <t>JÖNKÖPINGS LÄN</t>
        </is>
      </c>
      <c r="G117" t="inlineStr">
        <is>
          <t>ANEBY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39427-2025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45889</v>
      </c>
      <c r="E118" s="1" t="n">
        <v>46302</v>
      </c>
      <c r="F118" t="inlineStr">
        <is>
          <t>JÖNKÖPINGS LÄN</t>
        </is>
      </c>
      <c r="G118" t="inlineStr">
        <is>
          <t>ANEBY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45840</v>
      </c>
      <c r="E119" s="1" t="n">
        <v>46302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46302</v>
      </c>
      <c r="F120" t="inlineStr">
        <is>
          <t>JÖNKÖPINGS LÄN</t>
        </is>
      </c>
      <c r="G120" t="inlineStr">
        <is>
          <t>ANEBY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40017-2024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46302</v>
      </c>
      <c r="F121" t="inlineStr">
        <is>
          <t>JÖNKÖPINGS LÄN</t>
        </is>
      </c>
      <c r="G121" t="inlineStr">
        <is>
          <t>ANEBY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49133-2022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44860</v>
      </c>
      <c r="E122" s="1" t="n">
        <v>46302</v>
      </c>
      <c r="F122" t="inlineStr">
        <is>
          <t>JÖNKÖPINGS LÄN</t>
        </is>
      </c>
      <c r="G122" t="inlineStr">
        <is>
          <t>ANEBY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45812</v>
      </c>
      <c r="E123" s="1" t="n">
        <v>46302</v>
      </c>
      <c r="F123" t="inlineStr">
        <is>
          <t>JÖNKÖPINGS LÄN</t>
        </is>
      </c>
      <c r="G123" t="inlineStr">
        <is>
          <t>ANEBY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5719-2026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46051</v>
      </c>
      <c r="E124" s="1" t="n">
        <v>46302</v>
      </c>
      <c r="F124" t="inlineStr">
        <is>
          <t>JÖNKÖPINGS LÄN</t>
        </is>
      </c>
      <c r="G124" t="inlineStr">
        <is>
          <t>ANEBY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21026-2024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45439</v>
      </c>
      <c r="E125" s="1" t="n">
        <v>46302</v>
      </c>
      <c r="F125" t="inlineStr">
        <is>
          <t>JÖNKÖPINGS LÄN</t>
        </is>
      </c>
      <c r="G125" t="inlineStr">
        <is>
          <t>ANEBY</t>
        </is>
      </c>
      <c r="H125" t="inlineStr">
        <is>
          <t>Sveaskog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57174-2021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44482</v>
      </c>
      <c r="E126" s="1" t="n">
        <v>46302</v>
      </c>
      <c r="F126" t="inlineStr">
        <is>
          <t>JÖNKÖPINGS LÄN</t>
        </is>
      </c>
      <c r="G126" t="inlineStr">
        <is>
          <t>ANEBY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46302</v>
      </c>
      <c r="F127" t="inlineStr">
        <is>
          <t>JÖNKÖPINGS LÄN</t>
        </is>
      </c>
      <c r="G127" t="inlineStr">
        <is>
          <t>ANEBY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6827-2026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46057</v>
      </c>
      <c r="E128" s="1" t="n">
        <v>46302</v>
      </c>
      <c r="F128" t="inlineStr">
        <is>
          <t>JÖNKÖPINGS LÄN</t>
        </is>
      </c>
      <c r="G128" t="inlineStr">
        <is>
          <t>ANEBY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46057</v>
      </c>
      <c r="E129" s="1" t="n">
        <v>46302</v>
      </c>
      <c r="F129" t="inlineStr">
        <is>
          <t>JÖNKÖPINGS LÄN</t>
        </is>
      </c>
      <c r="G129" t="inlineStr">
        <is>
          <t>ANEBY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45020</v>
      </c>
      <c r="E130" s="1" t="n">
        <v>46302</v>
      </c>
      <c r="F130" t="inlineStr">
        <is>
          <t>JÖNKÖPINGS LÄN</t>
        </is>
      </c>
      <c r="G130" t="inlineStr">
        <is>
          <t>ANEBY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46302</v>
      </c>
      <c r="F131" t="inlineStr">
        <is>
          <t>JÖNKÖPINGS LÄN</t>
        </is>
      </c>
      <c r="G131" t="inlineStr">
        <is>
          <t>ANEBY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6873-2026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46302</v>
      </c>
      <c r="F132" t="inlineStr">
        <is>
          <t>JÖNKÖPINGS LÄN</t>
        </is>
      </c>
      <c r="G132" t="inlineStr">
        <is>
          <t>ANEBY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9193-2024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46302</v>
      </c>
      <c r="F133" t="inlineStr">
        <is>
          <t>JÖNKÖPINGS LÄN</t>
        </is>
      </c>
      <c r="G133" t="inlineStr">
        <is>
          <t>ANEBY</t>
        </is>
      </c>
      <c r="H133" t="inlineStr">
        <is>
          <t>Sveaskog</t>
        </is>
      </c>
      <c r="I133" t="n">
        <v>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7263-2026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46058</v>
      </c>
      <c r="E134" s="1" t="n">
        <v>46302</v>
      </c>
      <c r="F134" t="inlineStr">
        <is>
          <t>JÖNKÖPINGS LÄN</t>
        </is>
      </c>
      <c r="G134" t="inlineStr">
        <is>
          <t>ANEBY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46302</v>
      </c>
      <c r="F135" t="inlineStr">
        <is>
          <t>JÖNKÖPINGS LÄN</t>
        </is>
      </c>
      <c r="G135" t="inlineStr">
        <is>
          <t>ANEBY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42071-2025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46302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46058</v>
      </c>
      <c r="E137" s="1" t="n">
        <v>46302</v>
      </c>
      <c r="F137" t="inlineStr">
        <is>
          <t>JÖNKÖPINGS LÄN</t>
        </is>
      </c>
      <c r="G137" t="inlineStr">
        <is>
          <t>ANEBY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45330</v>
      </c>
      <c r="E138" s="1" t="n">
        <v>46302</v>
      </c>
      <c r="F138" t="inlineStr">
        <is>
          <t>JÖNKÖPINGS LÄN</t>
        </is>
      </c>
      <c r="G138" t="inlineStr">
        <is>
          <t>ANEBY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28543-2025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46302</v>
      </c>
      <c r="F139" t="inlineStr">
        <is>
          <t>JÖNKÖPINGS LÄN</t>
        </is>
      </c>
      <c r="G139" t="inlineStr">
        <is>
          <t>ANEBY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46302</v>
      </c>
      <c r="F140" t="inlineStr">
        <is>
          <t>JÖNKÖPINGS LÄN</t>
        </is>
      </c>
      <c r="G140" t="inlineStr">
        <is>
          <t>ANEBY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45909</v>
      </c>
      <c r="E141" s="1" t="n">
        <v>46302</v>
      </c>
      <c r="F141" t="inlineStr">
        <is>
          <t>JÖNKÖPINGS LÄN</t>
        </is>
      </c>
      <c r="G141" t="inlineStr">
        <is>
          <t>ANEBY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8338-2026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46064</v>
      </c>
      <c r="E142" s="1" t="n">
        <v>46302</v>
      </c>
      <c r="F142" t="inlineStr">
        <is>
          <t>JÖNKÖPINGS LÄN</t>
        </is>
      </c>
      <c r="G142" t="inlineStr">
        <is>
          <t>ANEBY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43008-2025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46302</v>
      </c>
      <c r="F143" t="inlineStr">
        <is>
          <t>JÖNKÖPINGS LÄN</t>
        </is>
      </c>
      <c r="G143" t="inlineStr">
        <is>
          <t>ANEBY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45911</v>
      </c>
      <c r="E144" s="1" t="n">
        <v>46302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46302</v>
      </c>
      <c r="F145" t="inlineStr">
        <is>
          <t>JÖNKÖPINGS LÄN</t>
        </is>
      </c>
      <c r="G145" t="inlineStr">
        <is>
          <t>ANEBY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9891-2026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46302</v>
      </c>
      <c r="F146" t="inlineStr">
        <is>
          <t>JÖNKÖPINGS LÄN</t>
        </is>
      </c>
      <c r="G146" t="inlineStr">
        <is>
          <t>ANEBY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29469-2025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46302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16.8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10162-2026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46076</v>
      </c>
      <c r="E148" s="1" t="n">
        <v>46302</v>
      </c>
      <c r="F148" t="inlineStr">
        <is>
          <t>JÖNKÖPINGS LÄN</t>
        </is>
      </c>
      <c r="G148" t="inlineStr">
        <is>
          <t>ANEBY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9068-2024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45357</v>
      </c>
      <c r="E149" s="1" t="n">
        <v>46302</v>
      </c>
      <c r="F149" t="inlineStr">
        <is>
          <t>JÖNKÖPINGS LÄN</t>
        </is>
      </c>
      <c r="G149" t="inlineStr">
        <is>
          <t>ANEBY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46162-2025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46302</v>
      </c>
      <c r="F150" t="inlineStr">
        <is>
          <t>JÖNKÖPINGS LÄN</t>
        </is>
      </c>
      <c r="G150" t="inlineStr">
        <is>
          <t>ANEBY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11618-2026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46302</v>
      </c>
      <c r="F151" t="inlineStr">
        <is>
          <t>JÖNKÖPINGS LÄN</t>
        </is>
      </c>
      <c r="G151" t="inlineStr">
        <is>
          <t>ANEBY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31087-2025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45831</v>
      </c>
      <c r="E152" s="1" t="n">
        <v>46302</v>
      </c>
      <c r="F152" t="inlineStr">
        <is>
          <t>JÖNKÖPINGS LÄN</t>
        </is>
      </c>
      <c r="G152" t="inlineStr">
        <is>
          <t>ANEBY</t>
        </is>
      </c>
      <c r="H152" t="inlineStr">
        <is>
          <t>Övriga Aktiebolag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12576-2026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46090</v>
      </c>
      <c r="E153" s="1" t="n">
        <v>46302</v>
      </c>
      <c r="F153" t="inlineStr">
        <is>
          <t>JÖNKÖPINGS LÄN</t>
        </is>
      </c>
      <c r="G153" t="inlineStr">
        <is>
          <t>ANEBY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45086</v>
      </c>
      <c r="E154" s="1" t="n">
        <v>46302</v>
      </c>
      <c r="F154" t="inlineStr">
        <is>
          <t>JÖNKÖPINGS LÄN</t>
        </is>
      </c>
      <c r="G154" t="inlineStr">
        <is>
          <t>ANEBY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13038-2026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46093</v>
      </c>
      <c r="E155" s="1" t="n">
        <v>46302</v>
      </c>
      <c r="F155" t="inlineStr">
        <is>
          <t>JÖNKÖPINGS LÄN</t>
        </is>
      </c>
      <c r="G155" t="inlineStr">
        <is>
          <t>ANEBY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46302</v>
      </c>
      <c r="F156" t="inlineStr">
        <is>
          <t>JÖNKÖPINGS LÄN</t>
        </is>
      </c>
      <c r="G156" t="inlineStr">
        <is>
          <t>ANEBY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45124</v>
      </c>
      <c r="E157" s="1" t="n">
        <v>46302</v>
      </c>
      <c r="F157" t="inlineStr">
        <is>
          <t>JÖNKÖPINGS LÄN</t>
        </is>
      </c>
      <c r="G157" t="inlineStr">
        <is>
          <t>ANEBY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57170-2021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44482</v>
      </c>
      <c r="E158" s="1" t="n">
        <v>46302</v>
      </c>
      <c r="F158" t="inlineStr">
        <is>
          <t>JÖNKÖPINGS LÄN</t>
        </is>
      </c>
      <c r="G158" t="inlineStr">
        <is>
          <t>ANEBY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14003-2026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46302</v>
      </c>
      <c r="F159" t="inlineStr">
        <is>
          <t>JÖNKÖPINGS LÄN</t>
        </is>
      </c>
      <c r="G159" t="inlineStr">
        <is>
          <t>ANEBY</t>
        </is>
      </c>
      <c r="H159" t="inlineStr">
        <is>
          <t>Övriga Aktiebolag</t>
        </is>
      </c>
      <c r="I159" t="n">
        <v>20.7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35773-2023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45148</v>
      </c>
      <c r="E160" s="1" t="n">
        <v>46302</v>
      </c>
      <c r="F160" t="inlineStr">
        <is>
          <t>JÖNKÖPINGS LÄN</t>
        </is>
      </c>
      <c r="G160" t="inlineStr">
        <is>
          <t>ANEBY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56735-2021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44481</v>
      </c>
      <c r="E161" s="1" t="n">
        <v>46302</v>
      </c>
      <c r="F161" t="inlineStr">
        <is>
          <t>JÖNKÖPINGS LÄN</t>
        </is>
      </c>
      <c r="G161" t="inlineStr">
        <is>
          <t>ANEBY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32554-2025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46302</v>
      </c>
      <c r="F162" t="inlineStr">
        <is>
          <t>JÖNKÖPINGS LÄN</t>
        </is>
      </c>
      <c r="G162" t="inlineStr">
        <is>
          <t>ANEBY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45539</v>
      </c>
      <c r="E163" s="1" t="n">
        <v>46302</v>
      </c>
      <c r="F163" t="inlineStr">
        <is>
          <t>JÖNKÖPINGS LÄN</t>
        </is>
      </c>
      <c r="G163" t="inlineStr">
        <is>
          <t>ANEBY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14824-2026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46104</v>
      </c>
      <c r="E164" s="1" t="n">
        <v>46302</v>
      </c>
      <c r="F164" t="inlineStr">
        <is>
          <t>JÖNKÖPINGS LÄN</t>
        </is>
      </c>
      <c r="G164" t="inlineStr">
        <is>
          <t>ANEBY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46104</v>
      </c>
      <c r="E165" s="1" t="n">
        <v>46302</v>
      </c>
      <c r="F165" t="inlineStr">
        <is>
          <t>JÖNKÖPINGS LÄN</t>
        </is>
      </c>
      <c r="G165" t="inlineStr">
        <is>
          <t>ANEBY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9541-2024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45359</v>
      </c>
      <c r="E166" s="1" t="n">
        <v>46302</v>
      </c>
      <c r="F166" t="inlineStr">
        <is>
          <t>JÖNKÖPINGS LÄN</t>
        </is>
      </c>
      <c r="G166" t="inlineStr">
        <is>
          <t>ANEBY</t>
        </is>
      </c>
      <c r="I166" t="n">
        <v>5.5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16095-2025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45749</v>
      </c>
      <c r="E167" s="1" t="n">
        <v>46302</v>
      </c>
      <c r="F167" t="inlineStr">
        <is>
          <t>JÖNKÖPINGS LÄN</t>
        </is>
      </c>
      <c r="G167" t="inlineStr">
        <is>
          <t>ANEBY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45688</v>
      </c>
      <c r="E168" s="1" t="n">
        <v>46302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15170-2026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46105</v>
      </c>
      <c r="E169" s="1" t="n">
        <v>46302</v>
      </c>
      <c r="F169" t="inlineStr">
        <is>
          <t>JÖNKÖPINGS LÄN</t>
        </is>
      </c>
      <c r="G169" t="inlineStr">
        <is>
          <t>ANEBY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15195-2026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46105</v>
      </c>
      <c r="E170" s="1" t="n">
        <v>46302</v>
      </c>
      <c r="F170" t="inlineStr">
        <is>
          <t>JÖNKÖPINGS LÄN</t>
        </is>
      </c>
      <c r="G170" t="inlineStr">
        <is>
          <t>ANEBY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46105</v>
      </c>
      <c r="E171" s="1" t="n">
        <v>46302</v>
      </c>
      <c r="F171" t="inlineStr">
        <is>
          <t>JÖNKÖPINGS LÄN</t>
        </is>
      </c>
      <c r="G171" t="inlineStr">
        <is>
          <t>ANEBY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50744-2025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45946</v>
      </c>
      <c r="E172" s="1" t="n">
        <v>46302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45951</v>
      </c>
      <c r="E173" s="1" t="n">
        <v>46302</v>
      </c>
      <c r="F173" t="inlineStr">
        <is>
          <t>JÖNKÖPINGS LÄN</t>
        </is>
      </c>
      <c r="G173" t="inlineStr">
        <is>
          <t>ANEBY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52718-2025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46302</v>
      </c>
      <c r="F174" t="inlineStr">
        <is>
          <t>JÖNKÖPINGS LÄN</t>
        </is>
      </c>
      <c r="G174" t="inlineStr">
        <is>
          <t>ANEBY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46302</v>
      </c>
      <c r="F175" t="inlineStr">
        <is>
          <t>JÖNKÖPINGS LÄN</t>
        </is>
      </c>
      <c r="G175" t="inlineStr">
        <is>
          <t>ANEBY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18142-2026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46125</v>
      </c>
      <c r="E176" s="1" t="n">
        <v>46302</v>
      </c>
      <c r="F176" t="inlineStr">
        <is>
          <t>JÖNKÖPINGS LÄN</t>
        </is>
      </c>
      <c r="G176" t="inlineStr">
        <is>
          <t>ANEBY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18147-2026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46125</v>
      </c>
      <c r="E177" s="1" t="n">
        <v>46302</v>
      </c>
      <c r="F177" t="inlineStr">
        <is>
          <t>JÖNKÖPINGS LÄN</t>
        </is>
      </c>
      <c r="G177" t="inlineStr">
        <is>
          <t>ANEBY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45691</v>
      </c>
      <c r="E178" s="1" t="n">
        <v>46302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18419-2026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46126</v>
      </c>
      <c r="E179" s="1" t="n">
        <v>46302</v>
      </c>
      <c r="F179" t="inlineStr">
        <is>
          <t>JÖNKÖPINGS LÄN</t>
        </is>
      </c>
      <c r="G179" t="inlineStr">
        <is>
          <t>ANEBY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46302</v>
      </c>
      <c r="F180" t="inlineStr">
        <is>
          <t>JÖNKÖPINGS LÄN</t>
        </is>
      </c>
      <c r="G180" t="inlineStr">
        <is>
          <t>ANEBY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54998-2025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46302</v>
      </c>
      <c r="F181" t="inlineStr">
        <is>
          <t>JÖNKÖPINGS LÄN</t>
        </is>
      </c>
      <c r="G181" t="inlineStr">
        <is>
          <t>ANEBY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46302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45159</v>
      </c>
      <c r="E183" s="1" t="n">
        <v>46302</v>
      </c>
      <c r="F183" t="inlineStr">
        <is>
          <t>JÖNKÖPINGS LÄN</t>
        </is>
      </c>
      <c r="G183" t="inlineStr">
        <is>
          <t>ANEBY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44705</v>
      </c>
      <c r="E184" s="1" t="n">
        <v>46302</v>
      </c>
      <c r="F184" t="inlineStr">
        <is>
          <t>JÖNKÖPINGS LÄN</t>
        </is>
      </c>
      <c r="G184" t="inlineStr">
        <is>
          <t>ANEBY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45552</v>
      </c>
      <c r="E185" s="1" t="n">
        <v>46302</v>
      </c>
      <c r="F185" t="inlineStr">
        <is>
          <t>JÖNKÖPINGS LÄN</t>
        </is>
      </c>
      <c r="G185" t="inlineStr">
        <is>
          <t>ANEBY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8772-2024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45356</v>
      </c>
      <c r="E186" s="1" t="n">
        <v>46302</v>
      </c>
      <c r="F186" t="inlineStr">
        <is>
          <t>JÖNKÖPINGS LÄN</t>
        </is>
      </c>
      <c r="G186" t="inlineStr">
        <is>
          <t>ANEBY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46302</v>
      </c>
      <c r="F187" t="inlineStr">
        <is>
          <t>JÖNKÖPINGS LÄN</t>
        </is>
      </c>
      <c r="G187" t="inlineStr">
        <is>
          <t>ANEBY</t>
        </is>
      </c>
      <c r="H187" t="inlineStr">
        <is>
          <t>Övriga Aktiebolag</t>
        </is>
      </c>
      <c r="I187" t="n">
        <v>19.6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46302</v>
      </c>
      <c r="F188" t="inlineStr">
        <is>
          <t>JÖNKÖPINGS LÄN</t>
        </is>
      </c>
      <c r="G188" t="inlineStr">
        <is>
          <t>ANEBY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39685-2024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46302</v>
      </c>
      <c r="F189" t="inlineStr">
        <is>
          <t>JÖNKÖPINGS LÄN</t>
        </is>
      </c>
      <c r="G189" t="inlineStr">
        <is>
          <t>ANEBY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57501-2025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45980</v>
      </c>
      <c r="E190" s="1" t="n">
        <v>46302</v>
      </c>
      <c r="F190" t="inlineStr">
        <is>
          <t>JÖNKÖPINGS LÄN</t>
        </is>
      </c>
      <c r="G190" t="inlineStr">
        <is>
          <t>ANEBY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46302</v>
      </c>
      <c r="F191" t="inlineStr">
        <is>
          <t>JÖNKÖPINGS LÄN</t>
        </is>
      </c>
      <c r="G191" t="inlineStr">
        <is>
          <t>ANEBY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58123-2025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45982</v>
      </c>
      <c r="E192" s="1" t="n">
        <v>46302</v>
      </c>
      <c r="F192" t="inlineStr">
        <is>
          <t>JÖNKÖPINGS LÄN</t>
        </is>
      </c>
      <c r="G192" t="inlineStr">
        <is>
          <t>ANEBY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46302</v>
      </c>
      <c r="F193" t="inlineStr">
        <is>
          <t>JÖNKÖPINGS LÄN</t>
        </is>
      </c>
      <c r="G193" t="inlineStr">
        <is>
          <t>ANEBY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45993</v>
      </c>
      <c r="E194" s="1" t="n">
        <v>46302</v>
      </c>
      <c r="F194" t="inlineStr">
        <is>
          <t>JÖNKÖPINGS LÄN</t>
        </is>
      </c>
      <c r="G194" t="inlineStr">
        <is>
          <t>ANEBY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32768-2025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45839</v>
      </c>
      <c r="E195" s="1" t="n">
        <v>46302</v>
      </c>
      <c r="F195" t="inlineStr">
        <is>
          <t>JÖNKÖPINGS LÄN</t>
        </is>
      </c>
      <c r="G195" t="inlineStr">
        <is>
          <t>ANEBY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46302</v>
      </c>
      <c r="F196" t="inlineStr">
        <is>
          <t>JÖNKÖPINGS LÄN</t>
        </is>
      </c>
      <c r="G196" t="inlineStr">
        <is>
          <t>ANEBY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46302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45806-2023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45189</v>
      </c>
      <c r="E198" s="1" t="n">
        <v>46302</v>
      </c>
      <c r="F198" t="inlineStr">
        <is>
          <t>JÖNKÖPINGS LÄN</t>
        </is>
      </c>
      <c r="G198" t="inlineStr">
        <is>
          <t>ANEBY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46302</v>
      </c>
      <c r="F199" t="inlineStr">
        <is>
          <t>JÖNKÖPINGS LÄN</t>
        </is>
      </c>
      <c r="G199" t="inlineStr">
        <is>
          <t>ANEBY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62090-2025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46006</v>
      </c>
      <c r="E200" s="1" t="n">
        <v>46302</v>
      </c>
      <c r="F200" t="inlineStr">
        <is>
          <t>JÖNKÖPINGS LÄN</t>
        </is>
      </c>
      <c r="G200" t="inlineStr">
        <is>
          <t>ANEBY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46006</v>
      </c>
      <c r="E201" s="1" t="n">
        <v>46302</v>
      </c>
      <c r="F201" t="inlineStr">
        <is>
          <t>JÖNKÖPINGS LÄN</t>
        </is>
      </c>
      <c r="G201" t="inlineStr">
        <is>
          <t>ANEBY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46020</v>
      </c>
      <c r="E202" s="1" t="n">
        <v>46302</v>
      </c>
      <c r="F202" t="inlineStr">
        <is>
          <t>JÖNKÖPINGS LÄN</t>
        </is>
      </c>
      <c r="G202" t="inlineStr">
        <is>
          <t>ANEBY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63992-2025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46021</v>
      </c>
      <c r="E203" s="1" t="n">
        <v>46302</v>
      </c>
      <c r="F203" t="inlineStr">
        <is>
          <t>JÖNKÖPINGS LÄN</t>
        </is>
      </c>
      <c r="G203" t="inlineStr">
        <is>
          <t>ANEBY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46021</v>
      </c>
      <c r="E204" s="1" t="n">
        <v>46302</v>
      </c>
      <c r="F204" t="inlineStr">
        <is>
          <t>JÖNKÖPINGS LÄN</t>
        </is>
      </c>
      <c r="G204" t="inlineStr">
        <is>
          <t>ANEBY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21356-2026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46147</v>
      </c>
      <c r="E205" s="1" t="n">
        <v>46302</v>
      </c>
      <c r="F205" t="inlineStr">
        <is>
          <t>JÖNKÖPINGS LÄN</t>
        </is>
      </c>
      <c r="G205" t="inlineStr">
        <is>
          <t>ANEBY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46302</v>
      </c>
      <c r="F206" t="inlineStr">
        <is>
          <t>JÖNKÖPINGS LÄN</t>
        </is>
      </c>
      <c r="G206" t="inlineStr">
        <is>
          <t>ANEBY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46783-2023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46302</v>
      </c>
      <c r="F207" t="inlineStr">
        <is>
          <t>JÖNKÖPINGS LÄN</t>
        </is>
      </c>
      <c r="G207" t="inlineStr">
        <is>
          <t>ANEBY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46302</v>
      </c>
      <c r="F208" t="inlineStr">
        <is>
          <t>JÖNKÖPINGS LÄN</t>
        </is>
      </c>
      <c r="G208" t="inlineStr">
        <is>
          <t>ANEBY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46780-2023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45198</v>
      </c>
      <c r="E209" s="1" t="n">
        <v>46302</v>
      </c>
      <c r="F209" t="inlineStr">
        <is>
          <t>JÖNKÖPINGS LÄN</t>
        </is>
      </c>
      <c r="G209" t="inlineStr">
        <is>
          <t>ANEBY</t>
        </is>
      </c>
      <c r="H209" t="inlineStr">
        <is>
          <t>Sveaskog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46302</v>
      </c>
      <c r="F210" t="inlineStr">
        <is>
          <t>JÖNKÖPINGS LÄN</t>
        </is>
      </c>
      <c r="G210" t="inlineStr">
        <is>
          <t>ANEBY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56020-2021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44477</v>
      </c>
      <c r="E211" s="1" t="n">
        <v>46302</v>
      </c>
      <c r="F211" t="inlineStr">
        <is>
          <t>JÖNKÖPINGS LÄN</t>
        </is>
      </c>
      <c r="G211" t="inlineStr">
        <is>
          <t>ANEBY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24672-2026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46171</v>
      </c>
      <c r="E212" s="1" t="n">
        <v>46302</v>
      </c>
      <c r="F212" t="inlineStr">
        <is>
          <t>JÖNKÖPINGS LÄN</t>
        </is>
      </c>
      <c r="G212" t="inlineStr">
        <is>
          <t>ANEBY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25894-2026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46176</v>
      </c>
      <c r="E213" s="1" t="n">
        <v>46302</v>
      </c>
      <c r="F213" t="inlineStr">
        <is>
          <t>JÖNKÖPINGS LÄN</t>
        </is>
      </c>
      <c r="G213" t="inlineStr">
        <is>
          <t>ANEBY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25897-2026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46176</v>
      </c>
      <c r="E214" s="1" t="n">
        <v>46302</v>
      </c>
      <c r="F214" t="inlineStr">
        <is>
          <t>JÖNKÖPINGS LÄN</t>
        </is>
      </c>
      <c r="G214" t="inlineStr">
        <is>
          <t>ANEBY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19943-2025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45771</v>
      </c>
      <c r="E215" s="1" t="n">
        <v>46302</v>
      </c>
      <c r="F215" t="inlineStr">
        <is>
          <t>JÖNKÖPINGS LÄN</t>
        </is>
      </c>
      <c r="G215" t="inlineStr">
        <is>
          <t>ANEBY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46185</v>
      </c>
      <c r="E216" s="1" t="n">
        <v>46302</v>
      </c>
      <c r="F216" t="inlineStr">
        <is>
          <t>JÖNKÖPINGS LÄN</t>
        </is>
      </c>
      <c r="G216" t="inlineStr">
        <is>
          <t>ANEBY</t>
        </is>
      </c>
      <c r="H216" t="inlineStr">
        <is>
          <t>Övriga Aktiebolag</t>
        </is>
      </c>
      <c r="I216" t="n">
        <v>4.8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46185</v>
      </c>
      <c r="E217" s="1" t="n">
        <v>46302</v>
      </c>
      <c r="F217" t="inlineStr">
        <is>
          <t>JÖNKÖPINGS LÄN</t>
        </is>
      </c>
      <c r="G217" t="inlineStr">
        <is>
          <t>ANEBY</t>
        </is>
      </c>
      <c r="H217" t="inlineStr">
        <is>
          <t>Övriga Aktiebolag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27528-2026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46185</v>
      </c>
      <c r="E218" s="1" t="n">
        <v>46302</v>
      </c>
      <c r="F218" t="inlineStr">
        <is>
          <t>JÖNKÖPINGS LÄN</t>
        </is>
      </c>
      <c r="G218" t="inlineStr">
        <is>
          <t>ANEBY</t>
        </is>
      </c>
      <c r="H218" t="inlineStr">
        <is>
          <t>Övriga Aktiebolag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27356-2026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46184</v>
      </c>
      <c r="E219" s="1" t="n">
        <v>46302</v>
      </c>
      <c r="F219" t="inlineStr">
        <is>
          <t>JÖNKÖPINGS LÄN</t>
        </is>
      </c>
      <c r="G219" t="inlineStr">
        <is>
          <t>ANEBY</t>
        </is>
      </c>
      <c r="I219" t="n">
        <v>17.9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27357-2026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46184</v>
      </c>
      <c r="E220" s="1" t="n">
        <v>46302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46184</v>
      </c>
      <c r="E221" s="1" t="n">
        <v>46302</v>
      </c>
      <c r="F221" t="inlineStr">
        <is>
          <t>JÖNKÖPINGS LÄN</t>
        </is>
      </c>
      <c r="G221" t="inlineStr">
        <is>
          <t>ANEBY</t>
        </is>
      </c>
      <c r="H221" t="inlineStr">
        <is>
          <t>Övriga Aktiebolag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7471-2022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44606</v>
      </c>
      <c r="E222" s="1" t="n">
        <v>46302</v>
      </c>
      <c r="F222" t="inlineStr">
        <is>
          <t>JÖNKÖPINGS LÄN</t>
        </is>
      </c>
      <c r="G222" t="inlineStr">
        <is>
          <t>ANEBY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45393</v>
      </c>
      <c r="E223" s="1" t="n">
        <v>46302</v>
      </c>
      <c r="F223" t="inlineStr">
        <is>
          <t>JÖNKÖPINGS LÄN</t>
        </is>
      </c>
      <c r="G223" t="inlineStr">
        <is>
          <t>ANEBY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12714-2023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45000</v>
      </c>
      <c r="E224" s="1" t="n">
        <v>46302</v>
      </c>
      <c r="F224" t="inlineStr">
        <is>
          <t>JÖNKÖPINGS LÄN</t>
        </is>
      </c>
      <c r="G224" t="inlineStr">
        <is>
          <t>ANEBY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10013-2023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44985</v>
      </c>
      <c r="E225" s="1" t="n">
        <v>46302</v>
      </c>
      <c r="F225" t="inlineStr">
        <is>
          <t>JÖNKÖPINGS LÄN</t>
        </is>
      </c>
      <c r="G225" t="inlineStr">
        <is>
          <t>ANEBY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23607-2024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45454</v>
      </c>
      <c r="E226" s="1" t="n">
        <v>46302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21353-2022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44705</v>
      </c>
      <c r="E227" s="1" t="n">
        <v>46302</v>
      </c>
      <c r="F227" t="inlineStr">
        <is>
          <t>JÖNKÖPINGS LÄN</t>
        </is>
      </c>
      <c r="G227" t="inlineStr">
        <is>
          <t>ANEBY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27994-2026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46302</v>
      </c>
      <c r="F228" t="inlineStr">
        <is>
          <t>JÖNKÖPINGS LÄN</t>
        </is>
      </c>
      <c r="G228" t="inlineStr">
        <is>
          <t>ANEBY</t>
        </is>
      </c>
      <c r="H228" t="inlineStr">
        <is>
          <t>Kyrkan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27997-2026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46195</v>
      </c>
      <c r="E229" s="1" t="n">
        <v>46302</v>
      </c>
      <c r="F229" t="inlineStr">
        <is>
          <t>JÖNKÖPINGS LÄN</t>
        </is>
      </c>
      <c r="G229" t="inlineStr">
        <is>
          <t>ANEBY</t>
        </is>
      </c>
      <c r="H229" t="inlineStr">
        <is>
          <t>Kyrkan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28232-2026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46196</v>
      </c>
      <c r="E230" s="1" t="n">
        <v>46302</v>
      </c>
      <c r="F230" t="inlineStr">
        <is>
          <t>JÖNKÖPINGS LÄN</t>
        </is>
      </c>
      <c r="G230" t="inlineStr">
        <is>
          <t>ANEBY</t>
        </is>
      </c>
      <c r="H230" t="inlineStr">
        <is>
          <t>Kyrkan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36690-2024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45537</v>
      </c>
      <c r="E231" s="1" t="n">
        <v>46302</v>
      </c>
      <c r="F231" t="inlineStr">
        <is>
          <t>JÖNKÖPINGS LÄN</t>
        </is>
      </c>
      <c r="G231" t="inlineStr">
        <is>
          <t>ANEBY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27613-2023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45097</v>
      </c>
      <c r="E232" s="1" t="n">
        <v>46302</v>
      </c>
      <c r="F232" t="inlineStr">
        <is>
          <t>JÖNKÖPINGS LÄN</t>
        </is>
      </c>
      <c r="G232" t="inlineStr">
        <is>
          <t>ANEBY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750-2025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45665</v>
      </c>
      <c r="E233" s="1" t="n">
        <v>46302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12548-2024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46302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35420-2023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46302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26769-2022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44739</v>
      </c>
      <c r="E236" s="1" t="n">
        <v>46302</v>
      </c>
      <c r="F236" t="inlineStr">
        <is>
          <t>JÖNKÖPINGS LÄN</t>
        </is>
      </c>
      <c r="G236" t="inlineStr">
        <is>
          <t>ANEBY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45412</v>
      </c>
      <c r="E237" s="1" t="n">
        <v>46302</v>
      </c>
      <c r="F237" t="inlineStr">
        <is>
          <t>JÖNKÖPINGS LÄN</t>
        </is>
      </c>
      <c r="G237" t="inlineStr">
        <is>
          <t>ANEBY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9066-2024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45357</v>
      </c>
      <c r="E238" s="1" t="n">
        <v>46302</v>
      </c>
      <c r="F238" t="inlineStr">
        <is>
          <t>JÖNKÖPINGS LÄN</t>
        </is>
      </c>
      <c r="G238" t="inlineStr">
        <is>
          <t>ANEBY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45009</v>
      </c>
      <c r="E239" s="1" t="n">
        <v>46302</v>
      </c>
      <c r="F239" t="inlineStr">
        <is>
          <t>JÖNKÖPINGS LÄN</t>
        </is>
      </c>
      <c r="G239" t="inlineStr">
        <is>
          <t>ANEBY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61005-2024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45645</v>
      </c>
      <c r="E240" s="1" t="n">
        <v>46302</v>
      </c>
      <c r="F240" t="inlineStr">
        <is>
          <t>JÖNKÖPINGS LÄN</t>
        </is>
      </c>
      <c r="G240" t="inlineStr">
        <is>
          <t>ANEBY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11346-2024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45372</v>
      </c>
      <c r="E241" s="1" t="n">
        <v>46302</v>
      </c>
      <c r="F241" t="inlineStr">
        <is>
          <t>JÖNKÖPINGS LÄN</t>
        </is>
      </c>
      <c r="G241" t="inlineStr">
        <is>
          <t>ANEBY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45357</v>
      </c>
      <c r="E242" s="1" t="n">
        <v>46302</v>
      </c>
      <c r="F242" t="inlineStr">
        <is>
          <t>JÖNKÖPINGS LÄN</t>
        </is>
      </c>
      <c r="G242" t="inlineStr">
        <is>
          <t>ANEBY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44952</v>
      </c>
      <c r="E243" s="1" t="n">
        <v>46302</v>
      </c>
      <c r="F243" t="inlineStr">
        <is>
          <t>JÖNKÖPINGS LÄN</t>
        </is>
      </c>
      <c r="G243" t="inlineStr">
        <is>
          <t>ANEBY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7945-2025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45707</v>
      </c>
      <c r="E244" s="1" t="n">
        <v>46302</v>
      </c>
      <c r="F244" t="inlineStr">
        <is>
          <t>JÖNKÖPINGS LÄN</t>
        </is>
      </c>
      <c r="G244" t="inlineStr">
        <is>
          <t>ANEBY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73166-2021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44550</v>
      </c>
      <c r="E245" s="1" t="n">
        <v>46302</v>
      </c>
      <c r="F245" t="inlineStr">
        <is>
          <t>JÖNKÖPINGS LÄN</t>
        </is>
      </c>
      <c r="G245" t="inlineStr">
        <is>
          <t>ANEBY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46302</v>
      </c>
      <c r="F246" t="inlineStr">
        <is>
          <t>JÖNKÖPINGS LÄN</t>
        </is>
      </c>
      <c r="G246" t="inlineStr">
        <is>
          <t>ANEBY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23349-2023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45076</v>
      </c>
      <c r="E247" s="1" t="n">
        <v>46302</v>
      </c>
      <c r="F247" t="inlineStr">
        <is>
          <t>JÖNKÖPINGS LÄN</t>
        </is>
      </c>
      <c r="G247" t="inlineStr">
        <is>
          <t>ANEBY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14329-2024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46302</v>
      </c>
      <c r="F248" t="inlineStr">
        <is>
          <t>JÖNKÖPINGS LÄN</t>
        </is>
      </c>
      <c r="G248" t="inlineStr">
        <is>
          <t>ANEBY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31043-2026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46214</v>
      </c>
      <c r="E249" s="1" t="n">
        <v>46302</v>
      </c>
      <c r="F249" t="inlineStr">
        <is>
          <t>JÖNKÖPINGS LÄN</t>
        </is>
      </c>
      <c r="G249" t="inlineStr">
        <is>
          <t>ANEBY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31044-2026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46214</v>
      </c>
      <c r="E250" s="1" t="n">
        <v>46302</v>
      </c>
      <c r="F250" t="inlineStr">
        <is>
          <t>JÖNKÖPINGS LÄN</t>
        </is>
      </c>
      <c r="G250" t="inlineStr">
        <is>
          <t>ANEBY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46214</v>
      </c>
      <c r="E251" s="1" t="n">
        <v>46302</v>
      </c>
      <c r="F251" t="inlineStr">
        <is>
          <t>JÖNKÖPINGS LÄN</t>
        </is>
      </c>
      <c r="G251" t="inlineStr">
        <is>
          <t>ANEBY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25963-2024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45467</v>
      </c>
      <c r="E252" s="1" t="n">
        <v>46302</v>
      </c>
      <c r="F252" t="inlineStr">
        <is>
          <t>JÖNKÖPINGS LÄN</t>
        </is>
      </c>
      <c r="G252" t="inlineStr">
        <is>
          <t>ANEBY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  <c r="Z252">
        <f>HYPERLINK("https://klasma.github.io/Logging_0604/knärot/A 25963-2024 karta knärot.png", "A 25963-2024")</f>
        <v/>
      </c>
      <c r="AA252">
        <f>HYPERLINK("https://klasma.github.io/Logging_0604/klagomål/A 25963-2024 FSC-klagomål.docx", "A 25963-2024")</f>
        <v/>
      </c>
      <c r="AB252">
        <f>HYPERLINK("https://klasma.github.io/Logging_0604/klagomålsmail/A 25963-2024 FSC-klagomål mail.docx", "A 25963-2024")</f>
        <v/>
      </c>
      <c r="AC252">
        <f>HYPERLINK("https://klasma.github.io/Logging_0604/tillsyn/A 25963-2024 tillsynsbegäran.docx", "A 25963-2024")</f>
        <v/>
      </c>
      <c r="AD252">
        <f>HYPERLINK("https://klasma.github.io/Logging_0604/tillsynsmail/A 25963-2024 tillsynsbegäran mail.docx", "A 25963-2024")</f>
        <v/>
      </c>
    </row>
    <row r="253" ht="15" customHeight="1">
      <c r="A253" t="inlineStr">
        <is>
          <t>A 21812-2023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45068</v>
      </c>
      <c r="E253" s="1" t="n">
        <v>46302</v>
      </c>
      <c r="F253" t="inlineStr">
        <is>
          <t>JÖNKÖPINGS LÄN</t>
        </is>
      </c>
      <c r="G253" t="inlineStr">
        <is>
          <t>ANEBY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45033</v>
      </c>
      <c r="E254" s="1" t="n">
        <v>46302</v>
      </c>
      <c r="F254" t="inlineStr">
        <is>
          <t>JÖNKÖPINGS LÄN</t>
        </is>
      </c>
      <c r="G254" t="inlineStr">
        <is>
          <t>ANEBY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23715-2023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45077</v>
      </c>
      <c r="E255" s="1" t="n">
        <v>46302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23716-2023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46302</v>
      </c>
      <c r="F256" t="inlineStr">
        <is>
          <t>JÖNKÖPINGS LÄN</t>
        </is>
      </c>
      <c r="G256" t="inlineStr">
        <is>
          <t>ANEBY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35668-2026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46265</v>
      </c>
      <c r="E257" s="1" t="n">
        <v>46302</v>
      </c>
      <c r="F257" t="inlineStr">
        <is>
          <t>JÖNKÖPINGS LÄN</t>
        </is>
      </c>
      <c r="G257" t="inlineStr">
        <is>
          <t>ANEBY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46265</v>
      </c>
      <c r="E258" s="1" t="n">
        <v>46302</v>
      </c>
      <c r="F258" t="inlineStr">
        <is>
          <t>JÖNKÖPINGS LÄN</t>
        </is>
      </c>
      <c r="G258" t="inlineStr">
        <is>
          <t>ANEBY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45159</v>
      </c>
      <c r="E259" s="1" t="n">
        <v>46302</v>
      </c>
      <c r="F259" t="inlineStr">
        <is>
          <t>JÖNKÖPINGS LÄN</t>
        </is>
      </c>
      <c r="G259" t="inlineStr">
        <is>
          <t>ANEBY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46302</v>
      </c>
      <c r="F260" t="inlineStr">
        <is>
          <t>JÖNKÖPINGS LÄN</t>
        </is>
      </c>
      <c r="G260" t="inlineStr">
        <is>
          <t>ANEBY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46265</v>
      </c>
      <c r="E261" s="1" t="n">
        <v>46302</v>
      </c>
      <c r="F261" t="inlineStr">
        <is>
          <t>JÖNKÖPINGS LÄN</t>
        </is>
      </c>
      <c r="G261" t="inlineStr">
        <is>
          <t>ANEBY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36053-2026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46267</v>
      </c>
      <c r="E262" s="1" t="n">
        <v>46302</v>
      </c>
      <c r="F262" t="inlineStr">
        <is>
          <t>JÖNKÖPINGS LÄN</t>
        </is>
      </c>
      <c r="G262" t="inlineStr">
        <is>
          <t>ANEBY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31624-2026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46224</v>
      </c>
      <c r="E263" s="1" t="n">
        <v>46302</v>
      </c>
      <c r="F263" t="inlineStr">
        <is>
          <t>JÖNKÖPINGS LÄN</t>
        </is>
      </c>
      <c r="G263" t="inlineStr">
        <is>
          <t>ANEBY</t>
        </is>
      </c>
      <c r="I263" t="n">
        <v>8.699999999999999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23557-2022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44721</v>
      </c>
      <c r="E264" s="1" t="n">
        <v>46302</v>
      </c>
      <c r="F264" t="inlineStr">
        <is>
          <t>JÖNKÖPINGS LÄN</t>
        </is>
      </c>
      <c r="G264" t="inlineStr">
        <is>
          <t>ANEBY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54213-2024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45616</v>
      </c>
      <c r="E265" s="1" t="n">
        <v>46302</v>
      </c>
      <c r="F265" t="inlineStr">
        <is>
          <t>JÖNKÖPINGS LÄN</t>
        </is>
      </c>
      <c r="G265" t="inlineStr">
        <is>
          <t>ANEBY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20219-2025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45772</v>
      </c>
      <c r="E266" s="1" t="n">
        <v>46302</v>
      </c>
      <c r="F266" t="inlineStr">
        <is>
          <t>JÖNKÖPINGS LÄN</t>
        </is>
      </c>
      <c r="G266" t="inlineStr">
        <is>
          <t>ANEBY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45316</v>
      </c>
      <c r="E267" s="1" t="n">
        <v>46302</v>
      </c>
      <c r="F267" t="inlineStr">
        <is>
          <t>JÖNKÖPINGS LÄN</t>
        </is>
      </c>
      <c r="G267" t="inlineStr">
        <is>
          <t>ANEBY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44966</v>
      </c>
      <c r="E268" s="1" t="n">
        <v>46302</v>
      </c>
      <c r="F268" t="inlineStr">
        <is>
          <t>JÖNKÖPINGS LÄN</t>
        </is>
      </c>
      <c r="G268" t="inlineStr">
        <is>
          <t>ANEBY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43613-2023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45184</v>
      </c>
      <c r="E269" s="1" t="n">
        <v>46302</v>
      </c>
      <c r="F269" t="inlineStr">
        <is>
          <t>JÖNKÖPINGS LÄN</t>
        </is>
      </c>
      <c r="G269" t="inlineStr">
        <is>
          <t>ANEBY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12477-2023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44999</v>
      </c>
      <c r="E270" s="1" t="n">
        <v>46302</v>
      </c>
      <c r="F270" t="inlineStr">
        <is>
          <t>JÖNKÖPINGS LÄN</t>
        </is>
      </c>
      <c r="G270" t="inlineStr">
        <is>
          <t>ANEBY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24783-2023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45084</v>
      </c>
      <c r="E271" s="1" t="n">
        <v>46302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45665</v>
      </c>
      <c r="E272" s="1" t="n">
        <v>46302</v>
      </c>
      <c r="F272" t="inlineStr">
        <is>
          <t>JÖNKÖPINGS LÄN</t>
        </is>
      </c>
      <c r="G272" t="inlineStr">
        <is>
          <t>ANEBY</t>
        </is>
      </c>
      <c r="H272" t="inlineStr">
        <is>
          <t>Sveaskog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46273</v>
      </c>
      <c r="E273" s="1" t="n">
        <v>46302</v>
      </c>
      <c r="F273" t="inlineStr">
        <is>
          <t>JÖNKÖPINGS LÄN</t>
        </is>
      </c>
      <c r="G273" t="inlineStr">
        <is>
          <t>ANEBY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4836-2023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44957</v>
      </c>
      <c r="E274" s="1" t="n">
        <v>46302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46273</v>
      </c>
      <c r="E275" s="1" t="n">
        <v>46302</v>
      </c>
      <c r="F275" t="inlineStr">
        <is>
          <t>JÖNKÖPINGS LÄN</t>
        </is>
      </c>
      <c r="G275" t="inlineStr">
        <is>
          <t>ANEBY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63624-2023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45275</v>
      </c>
      <c r="E276" s="1" t="n">
        <v>46302</v>
      </c>
      <c r="F276" t="inlineStr">
        <is>
          <t>JÖNKÖPINGS LÄN</t>
        </is>
      </c>
      <c r="G276" t="inlineStr">
        <is>
          <t>ANEBY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46302</v>
      </c>
      <c r="F277" t="inlineStr">
        <is>
          <t>JÖNKÖPINGS LÄN</t>
        </is>
      </c>
      <c r="G277" t="inlineStr">
        <is>
          <t>ANEBY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45304</v>
      </c>
      <c r="E278" s="1" t="n">
        <v>46302</v>
      </c>
      <c r="F278" t="inlineStr">
        <is>
          <t>JÖNKÖPINGS LÄN</t>
        </is>
      </c>
      <c r="G278" t="inlineStr">
        <is>
          <t>ANEBY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44578</v>
      </c>
      <c r="E279" s="1" t="n">
        <v>46302</v>
      </c>
      <c r="F279" t="inlineStr">
        <is>
          <t>JÖNKÖPINGS LÄN</t>
        </is>
      </c>
      <c r="G279" t="inlineStr">
        <is>
          <t>ANEBY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26236-2024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45468</v>
      </c>
      <c r="E280" s="1" t="n">
        <v>46302</v>
      </c>
      <c r="F280" t="inlineStr">
        <is>
          <t>JÖNKÖPINGS LÄN</t>
        </is>
      </c>
      <c r="G280" t="inlineStr">
        <is>
          <t>ANEBY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38691-2026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46283</v>
      </c>
      <c r="E281" s="1" t="n">
        <v>46302</v>
      </c>
      <c r="F281" t="inlineStr">
        <is>
          <t>JÖNKÖPINGS LÄN</t>
        </is>
      </c>
      <c r="G281" t="inlineStr">
        <is>
          <t>ANEBY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48524-2024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46302</v>
      </c>
      <c r="F282" t="inlineStr">
        <is>
          <t>JÖNKÖPINGS LÄN</t>
        </is>
      </c>
      <c r="G282" t="inlineStr">
        <is>
          <t>ANEBY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56333-2022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44890</v>
      </c>
      <c r="E283" s="1" t="n">
        <v>46302</v>
      </c>
      <c r="F283" t="inlineStr">
        <is>
          <t>JÖNKÖPINGS LÄN</t>
        </is>
      </c>
      <c r="G283" t="inlineStr">
        <is>
          <t>ANEBY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44890</v>
      </c>
      <c r="E284" s="1" t="n">
        <v>46302</v>
      </c>
      <c r="F284" t="inlineStr">
        <is>
          <t>JÖNKÖPINGS LÄN</t>
        </is>
      </c>
      <c r="G284" t="inlineStr">
        <is>
          <t>ANEBY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10155-2024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45364</v>
      </c>
      <c r="E285" s="1" t="n">
        <v>46302</v>
      </c>
      <c r="F285" t="inlineStr">
        <is>
          <t>JÖNKÖPINGS LÄN</t>
        </is>
      </c>
      <c r="G285" t="inlineStr">
        <is>
          <t>ANEBY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14338-2024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45393</v>
      </c>
      <c r="E286" s="1" t="n">
        <v>46302</v>
      </c>
      <c r="F286" t="inlineStr">
        <is>
          <t>JÖNKÖPINGS LÄN</t>
        </is>
      </c>
      <c r="G286" t="inlineStr">
        <is>
          <t>ANEBY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49398-2022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44859</v>
      </c>
      <c r="E287" s="1" t="n">
        <v>46302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46286</v>
      </c>
      <c r="E288" s="1" t="n">
        <v>46302</v>
      </c>
      <c r="F288" t="inlineStr">
        <is>
          <t>JÖNKÖPINGS LÄN</t>
        </is>
      </c>
      <c r="G288" t="inlineStr">
        <is>
          <t>ANEBY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38905-2026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46286</v>
      </c>
      <c r="E289" s="1" t="n">
        <v>46302</v>
      </c>
      <c r="F289" t="inlineStr">
        <is>
          <t>JÖNKÖPINGS LÄN</t>
        </is>
      </c>
      <c r="G289" t="inlineStr">
        <is>
          <t>ANEBY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18552-2025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46302</v>
      </c>
      <c r="F290" t="inlineStr">
        <is>
          <t>JÖNKÖPINGS LÄN</t>
        </is>
      </c>
      <c r="G290" t="inlineStr">
        <is>
          <t>ANEBY</t>
        </is>
      </c>
      <c r="H290" t="inlineStr">
        <is>
          <t>Övriga Aktiebolag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47409-2022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44851</v>
      </c>
      <c r="E291" s="1" t="n">
        <v>46302</v>
      </c>
      <c r="F291" t="inlineStr">
        <is>
          <t>JÖNKÖPINGS LÄN</t>
        </is>
      </c>
      <c r="G291" t="inlineStr">
        <is>
          <t>ANEBY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11353-2024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45372</v>
      </c>
      <c r="E292" s="1" t="n">
        <v>46302</v>
      </c>
      <c r="F292" t="inlineStr">
        <is>
          <t>JÖNKÖPINGS LÄN</t>
        </is>
      </c>
      <c r="G292" t="inlineStr">
        <is>
          <t>ANEBY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46302</v>
      </c>
      <c r="F293" t="inlineStr">
        <is>
          <t>JÖNKÖPINGS LÄN</t>
        </is>
      </c>
      <c r="G293" t="inlineStr">
        <is>
          <t>ANEBY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44981</v>
      </c>
      <c r="E294" s="1" t="n">
        <v>46302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46302</v>
      </c>
      <c r="F295" t="inlineStr">
        <is>
          <t>JÖNKÖPINGS LÄN</t>
        </is>
      </c>
      <c r="G295" t="inlineStr">
        <is>
          <t>ANEBY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45126</v>
      </c>
      <c r="E296" s="1" t="n">
        <v>46302</v>
      </c>
      <c r="F296" t="inlineStr">
        <is>
          <t>JÖNKÖPINGS LÄN</t>
        </is>
      </c>
      <c r="G296" t="inlineStr">
        <is>
          <t>ANEBY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44671</v>
      </c>
      <c r="E297" s="1" t="n">
        <v>46302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45356</v>
      </c>
      <c r="E298" s="1" t="n">
        <v>46302</v>
      </c>
      <c r="F298" t="inlineStr">
        <is>
          <t>JÖNKÖPINGS LÄN</t>
        </is>
      </c>
      <c r="G298" t="inlineStr">
        <is>
          <t>ANEBY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45365</v>
      </c>
      <c r="E299" s="1" t="n">
        <v>46302</v>
      </c>
      <c r="F299" t="inlineStr">
        <is>
          <t>JÖNKÖPINGS LÄN</t>
        </is>
      </c>
      <c r="G299" t="inlineStr">
        <is>
          <t>ANEBY</t>
        </is>
      </c>
      <c r="H299" t="inlineStr">
        <is>
          <t>Sveaskog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46302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40457-2026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46294</v>
      </c>
      <c r="E301" s="1" t="n">
        <v>46302</v>
      </c>
      <c r="F301" t="inlineStr">
        <is>
          <t>JÖNKÖPINGS LÄN</t>
        </is>
      </c>
      <c r="G301" t="inlineStr">
        <is>
          <t>ANEBY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45110</v>
      </c>
      <c r="E302" s="1" t="n">
        <v>46302</v>
      </c>
      <c r="F302" t="inlineStr">
        <is>
          <t>JÖNKÖPINGS LÄN</t>
        </is>
      </c>
      <c r="G302" t="inlineStr">
        <is>
          <t>ANEBY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10302-2024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45365</v>
      </c>
      <c r="E303" s="1" t="n">
        <v>46302</v>
      </c>
      <c r="F303" t="inlineStr">
        <is>
          <t>JÖNKÖPINGS LÄN</t>
        </is>
      </c>
      <c r="G303" t="inlineStr">
        <is>
          <t>ANEBY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44959</v>
      </c>
      <c r="E304" s="1" t="n">
        <v>46302</v>
      </c>
      <c r="F304" t="inlineStr">
        <is>
          <t>JÖNKÖPINGS LÄN</t>
        </is>
      </c>
      <c r="G304" t="inlineStr">
        <is>
          <t>ANEBY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17027-2023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45034</v>
      </c>
      <c r="E305" s="1" t="n">
        <v>46302</v>
      </c>
      <c r="F305" t="inlineStr">
        <is>
          <t>JÖNKÖPINGS LÄN</t>
        </is>
      </c>
      <c r="G305" t="inlineStr">
        <is>
          <t>ANEBY</t>
        </is>
      </c>
      <c r="H305" t="inlineStr">
        <is>
          <t>Kyrkan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45574</v>
      </c>
      <c r="E306" s="1" t="n">
        <v>46302</v>
      </c>
      <c r="F306" t="inlineStr">
        <is>
          <t>JÖNKÖPINGS LÄN</t>
        </is>
      </c>
      <c r="G306" t="inlineStr">
        <is>
          <t>ANEBY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67414-2021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44524</v>
      </c>
      <c r="E307" s="1" t="n">
        <v>46302</v>
      </c>
      <c r="F307" t="inlineStr">
        <is>
          <t>JÖNKÖPINGS LÄN</t>
        </is>
      </c>
      <c r="G307" t="inlineStr">
        <is>
          <t>ANEBY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16928-2023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45033</v>
      </c>
      <c r="E308" s="1" t="n">
        <v>46302</v>
      </c>
      <c r="F308" t="inlineStr">
        <is>
          <t>JÖNKÖPINGS LÄN</t>
        </is>
      </c>
      <c r="G308" t="inlineStr">
        <is>
          <t>ANEBY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46254</v>
      </c>
      <c r="E309" s="1" t="n">
        <v>46302</v>
      </c>
      <c r="F309" t="inlineStr">
        <is>
          <t>JÖNKÖPINGS LÄN</t>
        </is>
      </c>
      <c r="G309" t="inlineStr">
        <is>
          <t>ANEBY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59507-2022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44900</v>
      </c>
      <c r="E310" s="1" t="n">
        <v>46302</v>
      </c>
      <c r="F310" t="inlineStr">
        <is>
          <t>JÖNKÖPINGS LÄN</t>
        </is>
      </c>
      <c r="G310" t="inlineStr">
        <is>
          <t>ANEBY</t>
        </is>
      </c>
      <c r="H310" t="inlineStr">
        <is>
          <t>Övriga Aktiebolag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23354-2023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45076</v>
      </c>
      <c r="E311" s="1" t="n">
        <v>46302</v>
      </c>
      <c r="F311" t="inlineStr">
        <is>
          <t>JÖNKÖPINGS LÄN</t>
        </is>
      </c>
      <c r="G311" t="inlineStr">
        <is>
          <t>ANEBY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34379-2026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46254</v>
      </c>
      <c r="E312" s="1" t="n">
        <v>46302</v>
      </c>
      <c r="F312" t="inlineStr">
        <is>
          <t>JÖNKÖPINGS LÄN</t>
        </is>
      </c>
      <c r="G312" t="inlineStr">
        <is>
          <t>ANEBY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34850-2026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46255</v>
      </c>
      <c r="E313" s="1" t="n">
        <v>46302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24784-2024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45460</v>
      </c>
      <c r="E314" s="1" t="n">
        <v>46302</v>
      </c>
      <c r="F314" t="inlineStr">
        <is>
          <t>JÖNKÖPINGS LÄN</t>
        </is>
      </c>
      <c r="G314" t="inlineStr">
        <is>
          <t>ANEBY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37343-2023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45156</v>
      </c>
      <c r="E315" s="1" t="n">
        <v>46302</v>
      </c>
      <c r="F315" t="inlineStr">
        <is>
          <t>JÖNKÖPINGS LÄN</t>
        </is>
      </c>
      <c r="G315" t="inlineStr">
        <is>
          <t>ANEBY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9880-2024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45363</v>
      </c>
      <c r="E316" s="1" t="n">
        <v>46302</v>
      </c>
      <c r="F316" t="inlineStr">
        <is>
          <t>JÖNKÖPINGS LÄN</t>
        </is>
      </c>
      <c r="G316" t="inlineStr">
        <is>
          <t>ANEBY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23712-2023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45077</v>
      </c>
      <c r="E317" s="1" t="n">
        <v>46302</v>
      </c>
      <c r="F317" t="inlineStr">
        <is>
          <t>JÖNKÖPINGS LÄN</t>
        </is>
      </c>
      <c r="G317" t="inlineStr">
        <is>
          <t>ANEBY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26498-2023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46302</v>
      </c>
      <c r="F318" t="inlineStr">
        <is>
          <t>JÖNKÖPINGS LÄN</t>
        </is>
      </c>
      <c r="G318" t="inlineStr">
        <is>
          <t>ANEBY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38794-2023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45161</v>
      </c>
      <c r="E319" s="1" t="n">
        <v>46302</v>
      </c>
      <c r="F319" t="inlineStr">
        <is>
          <t>JÖNKÖPINGS LÄN</t>
        </is>
      </c>
      <c r="G319" t="inlineStr">
        <is>
          <t>ANEBY</t>
        </is>
      </c>
      <c r="H319" t="inlineStr">
        <is>
          <t>Övriga Aktiebolag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45028</v>
      </c>
      <c r="E320" s="1" t="n">
        <v>46302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41236-2026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46300</v>
      </c>
      <c r="E321" s="1" t="n">
        <v>46302</v>
      </c>
      <c r="F321" t="inlineStr">
        <is>
          <t>JÖNKÖPINGS LÄN</t>
        </is>
      </c>
      <c r="G321" t="inlineStr">
        <is>
          <t>ANEBY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46302</v>
      </c>
      <c r="F322" t="inlineStr">
        <is>
          <t>JÖNKÖPINGS LÄN</t>
        </is>
      </c>
      <c r="G322" t="inlineStr">
        <is>
          <t>ANEBY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16679-2024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45408</v>
      </c>
      <c r="E323" s="1" t="n">
        <v>46302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45016</v>
      </c>
      <c r="E324" s="1" t="n">
        <v>46302</v>
      </c>
      <c r="F324" t="inlineStr">
        <is>
          <t>JÖNKÖPINGS LÄN</t>
        </is>
      </c>
      <c r="G324" t="inlineStr">
        <is>
          <t>ANEBY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46302</v>
      </c>
      <c r="F325" t="inlineStr">
        <is>
          <t>JÖNKÖPINGS LÄN</t>
        </is>
      </c>
      <c r="G325" t="inlineStr">
        <is>
          <t>ANEBY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46302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46302</v>
      </c>
      <c r="F327" t="inlineStr">
        <is>
          <t>JÖNKÖPINGS LÄN</t>
        </is>
      </c>
      <c r="G327" t="inlineStr">
        <is>
          <t>ANEBY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46302</v>
      </c>
      <c r="F328" t="inlineStr">
        <is>
          <t>JÖNKÖPINGS LÄN</t>
        </is>
      </c>
      <c r="G328" t="inlineStr">
        <is>
          <t>ANEBY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46302</v>
      </c>
      <c r="F329" t="inlineStr">
        <is>
          <t>JÖNKÖPINGS LÄN</t>
        </is>
      </c>
      <c r="G329" t="inlineStr">
        <is>
          <t>ANEBY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46302</v>
      </c>
      <c r="F330" t="inlineStr">
        <is>
          <t>JÖNKÖPINGS LÄN</t>
        </is>
      </c>
      <c r="G330" t="inlineStr">
        <is>
          <t>ANEBY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46302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44700</v>
      </c>
      <c r="E332" s="1" t="n">
        <v>46302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46302</v>
      </c>
      <c r="F333" t="inlineStr">
        <is>
          <t>JÖNKÖPINGS LÄN</t>
        </is>
      </c>
      <c r="G333" t="inlineStr">
        <is>
          <t>ANEBY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46302</v>
      </c>
      <c r="F334" t="inlineStr">
        <is>
          <t>JÖNKÖPINGS LÄN</t>
        </is>
      </c>
      <c r="G334" t="inlineStr">
        <is>
          <t>ANEBY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46302</v>
      </c>
      <c r="F335" t="inlineStr">
        <is>
          <t>JÖNKÖPINGS LÄN</t>
        </is>
      </c>
      <c r="G335" t="inlineStr">
        <is>
          <t>ANEBY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25513-2023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45089</v>
      </c>
      <c r="E336" s="1" t="n">
        <v>46302</v>
      </c>
      <c r="F336" t="inlineStr">
        <is>
          <t>JÖNKÖPINGS LÄN</t>
        </is>
      </c>
      <c r="G336" t="inlineStr">
        <is>
          <t>ANEBY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15835-2024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45404</v>
      </c>
      <c r="E337" s="1" t="n">
        <v>46302</v>
      </c>
      <c r="F337" t="inlineStr">
        <is>
          <t>JÖNKÖPINGS LÄN</t>
        </is>
      </c>
      <c r="G337" t="inlineStr">
        <is>
          <t>ANEBY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45365</v>
      </c>
      <c r="E338" s="1" t="n">
        <v>46302</v>
      </c>
      <c r="F338" t="inlineStr">
        <is>
          <t>JÖNKÖPINGS LÄN</t>
        </is>
      </c>
      <c r="G338" t="inlineStr">
        <is>
          <t>ANEBY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50069-2024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45600</v>
      </c>
      <c r="E339" s="1" t="n">
        <v>46302</v>
      </c>
      <c r="F339" t="inlineStr">
        <is>
          <t>JÖNKÖPINGS LÄN</t>
        </is>
      </c>
      <c r="G339" t="inlineStr">
        <is>
          <t>ANEBY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46302</v>
      </c>
      <c r="F340" t="inlineStr">
        <is>
          <t>JÖNKÖPINGS LÄN</t>
        </is>
      </c>
      <c r="G340" t="inlineStr">
        <is>
          <t>ANEBY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44565</v>
      </c>
      <c r="E341" s="1" t="n">
        <v>46302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20568-2025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45775</v>
      </c>
      <c r="E342" s="1" t="n">
        <v>46302</v>
      </c>
      <c r="F342" t="inlineStr">
        <is>
          <t>JÖNKÖPINGS LÄN</t>
        </is>
      </c>
      <c r="G342" t="inlineStr">
        <is>
          <t>ANEBY</t>
        </is>
      </c>
      <c r="H342" t="inlineStr">
        <is>
          <t>Kyrkan</t>
        </is>
      </c>
      <c r="I342" t="n">
        <v>7.6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12834-2023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45001</v>
      </c>
      <c r="E343" s="1" t="n">
        <v>46302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6305-2025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45698</v>
      </c>
      <c r="E344" s="1" t="n">
        <v>46302</v>
      </c>
      <c r="F344" t="inlineStr">
        <is>
          <t>JÖNKÖPINGS LÄN</t>
        </is>
      </c>
      <c r="G344" t="inlineStr">
        <is>
          <t>ANEBY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46302</v>
      </c>
      <c r="F345" t="inlineStr">
        <is>
          <t>JÖNKÖPINGS LÄN</t>
        </is>
      </c>
      <c r="G345" t="inlineStr">
        <is>
          <t>ANEBY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46302</v>
      </c>
      <c r="F346" t="inlineStr">
        <is>
          <t>JÖNKÖPINGS LÄN</t>
        </is>
      </c>
      <c r="G346" t="inlineStr">
        <is>
          <t>ANEBY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46302</v>
      </c>
      <c r="F347" t="inlineStr">
        <is>
          <t>JÖNKÖPINGS LÄN</t>
        </is>
      </c>
      <c r="G347" t="inlineStr">
        <is>
          <t>ANEBY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45796</v>
      </c>
      <c r="E348" s="1" t="n">
        <v>46302</v>
      </c>
      <c r="F348" t="inlineStr">
        <is>
          <t>JÖNKÖPINGS LÄN</t>
        </is>
      </c>
      <c r="G348" t="inlineStr">
        <is>
          <t>ANEBY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5767-2022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44848</v>
      </c>
      <c r="E349" s="1" t="n">
        <v>46302</v>
      </c>
      <c r="F349" t="inlineStr">
        <is>
          <t>JÖNKÖPINGS LÄN</t>
        </is>
      </c>
      <c r="G349" t="inlineStr">
        <is>
          <t>ANEBY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6633-2022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44886</v>
      </c>
      <c r="E350" s="1" t="n">
        <v>46302</v>
      </c>
      <c r="F350" t="inlineStr">
        <is>
          <t>JÖNKÖPINGS LÄN</t>
        </is>
      </c>
      <c r="G350" t="inlineStr">
        <is>
          <t>ANEBY</t>
        </is>
      </c>
      <c r="I350" t="n">
        <v>4.8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1677-2023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45063</v>
      </c>
      <c r="E351" s="1" t="n">
        <v>46302</v>
      </c>
      <c r="F351" t="inlineStr">
        <is>
          <t>JÖNKÖPINGS LÄN</t>
        </is>
      </c>
      <c r="G351" t="inlineStr">
        <is>
          <t>ANEBY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3586-2024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45546</v>
      </c>
      <c r="E352" s="1" t="n">
        <v>46302</v>
      </c>
      <c r="F352" t="inlineStr">
        <is>
          <t>JÖNKÖPINGS LÄN</t>
        </is>
      </c>
      <c r="G352" t="inlineStr">
        <is>
          <t>ANEBY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6631-2022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46302</v>
      </c>
      <c r="F353" t="inlineStr">
        <is>
          <t>JÖNKÖPINGS LÄN</t>
        </is>
      </c>
      <c r="G353" t="inlineStr">
        <is>
          <t>ANEBY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1729-2023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45069</v>
      </c>
      <c r="E354" s="1" t="n">
        <v>46302</v>
      </c>
      <c r="F354" t="inlineStr">
        <is>
          <t>JÖNKÖPINGS LÄN</t>
        </is>
      </c>
      <c r="G354" t="inlineStr">
        <is>
          <t>ANEBY</t>
        </is>
      </c>
      <c r="I354" t="n">
        <v>16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2550-2023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45135</v>
      </c>
      <c r="E355" s="1" t="n">
        <v>46302</v>
      </c>
      <c r="F355" t="inlineStr">
        <is>
          <t>JÖNKÖPINGS LÄN</t>
        </is>
      </c>
      <c r="G355" t="inlineStr">
        <is>
          <t>ANEBY</t>
        </is>
      </c>
      <c r="I355" t="n">
        <v>58.3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805-2022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44603</v>
      </c>
      <c r="E356" s="1" t="n">
        <v>46302</v>
      </c>
      <c r="F356" t="inlineStr">
        <is>
          <t>JÖNKÖPINGS LÄN</t>
        </is>
      </c>
      <c r="G356" t="inlineStr">
        <is>
          <t>ANEBY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6634-2022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46302</v>
      </c>
      <c r="F357" t="inlineStr">
        <is>
          <t>JÖNKÖPINGS LÄN</t>
        </is>
      </c>
      <c r="G357" t="inlineStr">
        <is>
          <t>ANEBY</t>
        </is>
      </c>
      <c r="I357" t="n">
        <v>34.3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6623-2022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46302</v>
      </c>
      <c r="F358" t="inlineStr">
        <is>
          <t>JÖNKÖPINGS LÄN</t>
        </is>
      </c>
      <c r="G358" t="inlineStr">
        <is>
          <t>ANEBY</t>
        </is>
      </c>
      <c r="I358" t="n">
        <v>13.8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469-2025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45702</v>
      </c>
      <c r="E359" s="1" t="n">
        <v>46302</v>
      </c>
      <c r="F359" t="inlineStr">
        <is>
          <t>JÖNKÖPINGS LÄN</t>
        </is>
      </c>
      <c r="G359" t="inlineStr">
        <is>
          <t>ANEBY</t>
        </is>
      </c>
      <c r="I359" t="n">
        <v>22.8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20-2026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46029</v>
      </c>
      <c r="E360" s="1" t="n">
        <v>46302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1152-2026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46135</v>
      </c>
      <c r="E361" s="1" t="n">
        <v>46302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2026-10-07T02:03:25Z</dcterms:created>
  <dcterms:modified xmlns:dcterms="http://purl.org/dc/terms/" xmlns:xsi="http://www.w3.org/2001/XMLSchema-instance" xsi:type="dcterms:W3CDTF">2026-10-07T02:03:25Z</dcterms:modified>
</cp:coreProperties>
</file>