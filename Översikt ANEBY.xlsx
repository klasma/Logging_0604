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46297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46297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46297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46297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46297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46297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46297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46297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46297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46297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46297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46297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46297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46297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46297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46297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46297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46297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46297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46297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46297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46297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46297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46297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46297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38728-2024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46297</v>
      </c>
      <c r="F31" t="inlineStr">
        <is>
          <t>JÖNKÖPINGS LÄN</t>
        </is>
      </c>
      <c r="G31" t="inlineStr">
        <is>
          <t>ANEBY</t>
        </is>
      </c>
      <c r="I31" t="n">
        <v>5.5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HYPERLINK("https://klasma.github.io/Logging_0604/artfynd/A 38728-2024 artfynd.xlsx", "A 38728-2024")</f>
        <v/>
      </c>
      <c r="X31">
        <f>HYPERLINK("https://klasma.github.io/Logging_0604/kartor/A 38728-2024 karta.png", "A 38728-2024")</f>
        <v/>
      </c>
      <c r="Y31">
        <f>HYPERLINK("https://klasma.github.io/Logging_0604/kartor_geotiff/A 38728-2024 georefererad karta.tif", "A 38728-2024")</f>
        <v/>
      </c>
      <c r="AA31">
        <f>HYPERLINK("https://klasma.github.io/Logging_0604/klagomål/A 38728-2024 FSC-klagomål.docx", "A 38728-2024")</f>
        <v/>
      </c>
      <c r="AB31">
        <f>HYPERLINK("https://klasma.github.io/Logging_0604/klagomålsmail/A 38728-2024 FSC-klagomål mail.docx", "A 38728-2024")</f>
        <v/>
      </c>
      <c r="AC31">
        <f>HYPERLINK("https://klasma.github.io/Logging_0604/tillsyn/A 38728-2024 tillsynsbegäran.docx", "A 38728-2024")</f>
        <v/>
      </c>
      <c r="AD31">
        <f>HYPERLINK("https://klasma.github.io/Logging_0604/tillsynsmail/A 38728-2024 tillsynsbegäran mail.docx", "A 38728-2024")</f>
        <v/>
      </c>
      <c r="AE31">
        <f>HYPERLINK("https://klasma.github.io/Logging_0604/fåglar/A 38728-2024 prioriterade fågelarter.docx", "A 38728-2024")</f>
        <v/>
      </c>
    </row>
    <row r="32" ht="15" customHeight="1">
      <c r="A32" t="inlineStr">
        <is>
          <t>A 40897-2024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46297</v>
      </c>
      <c r="F32" t="inlineStr">
        <is>
          <t>JÖNKÖPINGS LÄN</t>
        </is>
      </c>
      <c r="G32" t="inlineStr">
        <is>
          <t>ANEBY</t>
        </is>
      </c>
      <c r="I32" t="n">
        <v>3.3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Fläckmaskros</t>
        </is>
      </c>
      <c r="W32">
        <f>HYPERLINK("https://klasma.github.io/Logging_0604/artfynd/A 40897-2024 artfynd.xlsx", "A 40897-2024")</f>
        <v/>
      </c>
      <c r="X32">
        <f>HYPERLINK("https://klasma.github.io/Logging_0604/kartor/A 40897-2024 karta.png", "A 40897-2024")</f>
        <v/>
      </c>
      <c r="Y32">
        <f>HYPERLINK("https://klasma.github.io/Logging_0604/kartor_geotiff/A 40897-2024 georefererad karta.tif", "A 40897-2024")</f>
        <v/>
      </c>
      <c r="AA32">
        <f>HYPERLINK("https://klasma.github.io/Logging_0604/klagomål/A 40897-2024 FSC-klagomål.docx", "A 40897-2024")</f>
        <v/>
      </c>
      <c r="AB32">
        <f>HYPERLINK("https://klasma.github.io/Logging_0604/klagomålsmail/A 40897-2024 FSC-klagomål mail.docx", "A 40897-2024")</f>
        <v/>
      </c>
      <c r="AC32">
        <f>HYPERLINK("https://klasma.github.io/Logging_0604/tillsyn/A 40897-2024 tillsynsbegäran.docx", "A 40897-2024")</f>
        <v/>
      </c>
      <c r="AD32">
        <f>HYPERLINK("https://klasma.github.io/Logging_0604/tillsynsmail/A 40897-2024 tillsynsbegäran mail.docx", "A 40897-2024")</f>
        <v/>
      </c>
    </row>
    <row r="33" ht="15" customHeight="1">
      <c r="A33" t="inlineStr">
        <is>
          <t>A 13163-2024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45386</v>
      </c>
      <c r="E33" s="1" t="n">
        <v>46297</v>
      </c>
      <c r="F33" t="inlineStr">
        <is>
          <t>JÖNKÖPINGS LÄN</t>
        </is>
      </c>
      <c r="G33" t="inlineStr">
        <is>
          <t>ANEBY</t>
        </is>
      </c>
      <c r="I33" t="n">
        <v>6.9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HYPERLINK("https://klasma.github.io/Logging_0604/artfynd/A 13163-2024 artfynd.xlsx", "A 13163-2024")</f>
        <v/>
      </c>
      <c r="X33">
        <f>HYPERLINK("https://klasma.github.io/Logging_0604/kartor/A 13163-2024 karta.png", "A 13163-2024")</f>
        <v/>
      </c>
      <c r="Y33">
        <f>HYPERLINK("https://klasma.github.io/Logging_0604/kartor_geotiff/A 13163-2024 georefererad karta.tif", "A 13163-2024")</f>
        <v/>
      </c>
      <c r="AA33">
        <f>HYPERLINK("https://klasma.github.io/Logging_0604/klagomål/A 13163-2024 FSC-klagomål.docx", "A 13163-2024")</f>
        <v/>
      </c>
      <c r="AB33">
        <f>HYPERLINK("https://klasma.github.io/Logging_0604/klagomålsmail/A 13163-2024 FSC-klagomål mail.docx", "A 13163-2024")</f>
        <v/>
      </c>
      <c r="AC33">
        <f>HYPERLINK("https://klasma.github.io/Logging_0604/tillsyn/A 13163-2024 tillsynsbegäran.docx", "A 13163-2024")</f>
        <v/>
      </c>
      <c r="AD33">
        <f>HYPERLINK("https://klasma.github.io/Logging_0604/tillsynsmail/A 13163-2024 tillsynsbegäran mail.docx", "A 13163-2024")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46297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46297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46297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46297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46297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46297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46297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46297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36378-2026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46297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HYPERLINK("https://klasma.github.io/Logging_0604/artfynd/A 36378-2026 artfynd.xlsx", "A 36378-2026")</f>
        <v/>
      </c>
      <c r="X42">
        <f>HYPERLINK("https://klasma.github.io/Logging_0604/kartor/A 36378-2026 karta.png", "A 36378-2026")</f>
        <v/>
      </c>
      <c r="Y42">
        <f>HYPERLINK("https://klasma.github.io/Logging_0604/kartor_geotiff/A 36378-2026 georefererad karta.tif", "A 36378-2026")</f>
        <v/>
      </c>
      <c r="AA42">
        <f>HYPERLINK("https://klasma.github.io/Logging_0604/klagomål/A 36378-2026 FSC-klagomål.docx", "A 36378-2026")</f>
        <v/>
      </c>
      <c r="AB42">
        <f>HYPERLINK("https://klasma.github.io/Logging_0604/klagomålsmail/A 36378-2026 FSC-klagomål mail.docx", "A 36378-2026")</f>
        <v/>
      </c>
      <c r="AC42">
        <f>HYPERLINK("https://klasma.github.io/Logging_0604/tillsyn/A 36378-2026 tillsynsbegäran.docx", "A 36378-2026")</f>
        <v/>
      </c>
      <c r="AD42">
        <f>HYPERLINK("https://klasma.github.io/Logging_0604/tillsynsmail/A 36378-2026 tillsynsbegäran mail.docx", "A 36378-2026")</f>
        <v/>
      </c>
      <c r="AE42">
        <f>HYPERLINK("https://klasma.github.io/Logging_0604/fåglar/A 36378-2026 prioriterade fågelarter.docx", "A 36378-2026")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46297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46297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46297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46297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46297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73572-2021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44550</v>
      </c>
      <c r="E48" s="1" t="n">
        <v>46297</v>
      </c>
      <c r="F48" t="inlineStr">
        <is>
          <t>JÖNKÖPINGS LÄN</t>
        </is>
      </c>
      <c r="G48" t="inlineStr">
        <is>
          <t>ANEBY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46297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46297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46297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46297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46297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46297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46297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46297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46297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46297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46297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46297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46297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46297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46297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46297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46297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46297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46297</v>
      </c>
      <c r="F72" t="inlineStr">
        <is>
          <t>JÖNKÖPINGS LÄN</t>
        </is>
      </c>
      <c r="G72" t="inlineStr">
        <is>
          <t>ANEBY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46297</v>
      </c>
      <c r="F73" t="inlineStr">
        <is>
          <t>JÖNKÖPINGS LÄN</t>
        </is>
      </c>
      <c r="G73" t="inlineStr">
        <is>
          <t>ANEBY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46297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46297</v>
      </c>
      <c r="F75" t="inlineStr">
        <is>
          <t>JÖNKÖPINGS LÄN</t>
        </is>
      </c>
      <c r="G75" t="inlineStr">
        <is>
          <t>ANEBY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46297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46297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46297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46297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46297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46297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46297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46297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46297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44860</v>
      </c>
      <c r="E85" s="1" t="n">
        <v>46297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46297</v>
      </c>
      <c r="F86" t="inlineStr">
        <is>
          <t>JÖNKÖPINGS LÄN</t>
        </is>
      </c>
      <c r="G86" t="inlineStr">
        <is>
          <t>ANEBY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46297</v>
      </c>
      <c r="F87" t="inlineStr">
        <is>
          <t>JÖNKÖPINGS LÄN</t>
        </is>
      </c>
      <c r="G87" t="inlineStr">
        <is>
          <t>ANEBY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63901-2025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46020</v>
      </c>
      <c r="E88" s="1" t="n">
        <v>46297</v>
      </c>
      <c r="F88" t="inlineStr">
        <is>
          <t>JÖNKÖPINGS LÄN</t>
        </is>
      </c>
      <c r="G88" t="inlineStr">
        <is>
          <t>ANEBY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45398</v>
      </c>
      <c r="E89" s="1" t="n">
        <v>46297</v>
      </c>
      <c r="F89" t="inlineStr">
        <is>
          <t>JÖNKÖPINGS LÄN</t>
        </is>
      </c>
      <c r="G89" t="inlineStr">
        <is>
          <t>ANEBY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46297</v>
      </c>
      <c r="F90" t="inlineStr">
        <is>
          <t>JÖNKÖPINGS LÄN</t>
        </is>
      </c>
      <c r="G90" t="inlineStr">
        <is>
          <t>ANEBY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46297</v>
      </c>
      <c r="F91" t="inlineStr">
        <is>
          <t>JÖNKÖPINGS LÄN</t>
        </is>
      </c>
      <c r="G91" t="inlineStr">
        <is>
          <t>ANEBY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46030</v>
      </c>
      <c r="E92" s="1" t="n">
        <v>46297</v>
      </c>
      <c r="F92" t="inlineStr">
        <is>
          <t>JÖNKÖPINGS LÄN</t>
        </is>
      </c>
      <c r="G92" t="inlineStr">
        <is>
          <t>ANEBY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46297</v>
      </c>
      <c r="F93" t="inlineStr">
        <is>
          <t>JÖNKÖPINGS LÄN</t>
        </is>
      </c>
      <c r="G93" t="inlineStr">
        <is>
          <t>ANEBY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46297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23966-2025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46297</v>
      </c>
      <c r="F95" t="inlineStr">
        <is>
          <t>JÖNKÖPINGS LÄN</t>
        </is>
      </c>
      <c r="G95" t="inlineStr">
        <is>
          <t>ANEBY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46297</v>
      </c>
      <c r="F96" t="inlineStr">
        <is>
          <t>JÖNKÖPINGS LÄN</t>
        </is>
      </c>
      <c r="G96" t="inlineStr">
        <is>
          <t>ANEBY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1955-2026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46297</v>
      </c>
      <c r="F97" t="inlineStr">
        <is>
          <t>JÖNKÖPINGS LÄN</t>
        </is>
      </c>
      <c r="G97" t="inlineStr">
        <is>
          <t>ANEBY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46297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46297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46297</v>
      </c>
      <c r="F100" t="inlineStr">
        <is>
          <t>JÖNKÖPINGS LÄN</t>
        </is>
      </c>
      <c r="G100" t="inlineStr">
        <is>
          <t>ANEBY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46297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46297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46297</v>
      </c>
      <c r="F103" t="inlineStr">
        <is>
          <t>JÖNKÖPINGS LÄN</t>
        </is>
      </c>
      <c r="G103" t="inlineStr">
        <is>
          <t>ANEBY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46297</v>
      </c>
      <c r="F104" t="inlineStr">
        <is>
          <t>JÖNKÖPINGS LÄN</t>
        </is>
      </c>
      <c r="G104" t="inlineStr">
        <is>
          <t>ANEBY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46045</v>
      </c>
      <c r="E105" s="1" t="n">
        <v>46297</v>
      </c>
      <c r="F105" t="inlineStr">
        <is>
          <t>JÖNKÖPINGS LÄN</t>
        </is>
      </c>
      <c r="G105" t="inlineStr">
        <is>
          <t>ANEBY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46297</v>
      </c>
      <c r="F106" t="inlineStr">
        <is>
          <t>JÖNKÖPINGS LÄN</t>
        </is>
      </c>
      <c r="G106" t="inlineStr">
        <is>
          <t>ANEBY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46297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46297</v>
      </c>
      <c r="F108" t="inlineStr">
        <is>
          <t>JÖNKÖPINGS LÄN</t>
        </is>
      </c>
      <c r="G108" t="inlineStr">
        <is>
          <t>ANEBY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46297</v>
      </c>
      <c r="F109" t="inlineStr">
        <is>
          <t>JÖNKÖPINGS LÄN</t>
        </is>
      </c>
      <c r="G109" t="inlineStr">
        <is>
          <t>ANEBY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25963-2024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45467</v>
      </c>
      <c r="E110" s="1" t="n">
        <v>46297</v>
      </c>
      <c r="F110" t="inlineStr">
        <is>
          <t>JÖNKÖPINGS LÄN</t>
        </is>
      </c>
      <c r="G110" t="inlineStr">
        <is>
          <t>ANEBY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  <c r="Z110">
        <f>HYPERLINK("https://klasma.github.io/Logging_0604/knärot/A 25963-2024 karta knärot.png", "A 25963-2024")</f>
        <v/>
      </c>
      <c r="AA110">
        <f>HYPERLINK("https://klasma.github.io/Logging_0604/klagomål/A 25963-2024 FSC-klagomål.docx", "A 25963-2024")</f>
        <v/>
      </c>
      <c r="AB110">
        <f>HYPERLINK("https://klasma.github.io/Logging_0604/klagomålsmail/A 25963-2024 FSC-klagomål mail.docx", "A 25963-2024")</f>
        <v/>
      </c>
      <c r="AC110">
        <f>HYPERLINK("https://klasma.github.io/Logging_0604/tillsyn/A 25963-2024 tillsynsbegäran.docx", "A 25963-2024")</f>
        <v/>
      </c>
      <c r="AD110">
        <f>HYPERLINK("https://klasma.github.io/Logging_0604/tillsynsmail/A 25963-2024 tillsynsbegäran mail.docx", "A 25963-2024")</f>
        <v/>
      </c>
    </row>
    <row r="111" ht="15" customHeight="1">
      <c r="A111" t="inlineStr">
        <is>
          <t>A 37343-2023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45156</v>
      </c>
      <c r="E111" s="1" t="n">
        <v>46297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46297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21026-2024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45439</v>
      </c>
      <c r="E113" s="1" t="n">
        <v>46297</v>
      </c>
      <c r="F113" t="inlineStr">
        <is>
          <t>JÖNKÖPINGS LÄN</t>
        </is>
      </c>
      <c r="G113" t="inlineStr">
        <is>
          <t>ANEBY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46297</v>
      </c>
      <c r="F114" t="inlineStr">
        <is>
          <t>JÖNKÖPINGS LÄN</t>
        </is>
      </c>
      <c r="G114" t="inlineStr">
        <is>
          <t>ANEBY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46297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6827-2026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46057</v>
      </c>
      <c r="E116" s="1" t="n">
        <v>46297</v>
      </c>
      <c r="F116" t="inlineStr">
        <is>
          <t>JÖNKÖPINGS LÄN</t>
        </is>
      </c>
      <c r="G116" t="inlineStr">
        <is>
          <t>ANEBY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46297</v>
      </c>
      <c r="F117" t="inlineStr">
        <is>
          <t>JÖNKÖPINGS LÄN</t>
        </is>
      </c>
      <c r="G117" t="inlineStr">
        <is>
          <t>ANEBY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7263-2026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46058</v>
      </c>
      <c r="E118" s="1" t="n">
        <v>46297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46297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46297</v>
      </c>
      <c r="F120" t="inlineStr">
        <is>
          <t>JÖNKÖPINGS LÄN</t>
        </is>
      </c>
      <c r="G120" t="inlineStr">
        <is>
          <t>ANEBY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46057</v>
      </c>
      <c r="E121" s="1" t="n">
        <v>46297</v>
      </c>
      <c r="F121" t="inlineStr">
        <is>
          <t>JÖNKÖPINGS LÄN</t>
        </is>
      </c>
      <c r="G121" t="inlineStr">
        <is>
          <t>ANEBY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46297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46297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73166-2021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46297</v>
      </c>
      <c r="F124" t="inlineStr">
        <is>
          <t>JÖNKÖPINGS LÄN</t>
        </is>
      </c>
      <c r="G124" t="inlineStr">
        <is>
          <t>ANEBY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46297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46297</v>
      </c>
      <c r="F126" t="inlineStr">
        <is>
          <t>JÖNKÖPINGS LÄN</t>
        </is>
      </c>
      <c r="G126" t="inlineStr">
        <is>
          <t>ANEBY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27714-2024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45475</v>
      </c>
      <c r="E127" s="1" t="n">
        <v>46297</v>
      </c>
      <c r="F127" t="inlineStr">
        <is>
          <t>JÖNKÖPINGS LÄN</t>
        </is>
      </c>
      <c r="G127" t="inlineStr">
        <is>
          <t>ANEBY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46297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43528-2025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45911</v>
      </c>
      <c r="E129" s="1" t="n">
        <v>46297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46297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46297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46297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12477-2023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44999</v>
      </c>
      <c r="E133" s="1" t="n">
        <v>46297</v>
      </c>
      <c r="F133" t="inlineStr">
        <is>
          <t>JÖNKÖPINGS LÄN</t>
        </is>
      </c>
      <c r="G133" t="inlineStr">
        <is>
          <t>ANEBY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35555-2024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46297</v>
      </c>
      <c r="F134" t="inlineStr">
        <is>
          <t>JÖNKÖPINGS LÄN</t>
        </is>
      </c>
      <c r="G134" t="inlineStr">
        <is>
          <t>ANEBY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46297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46297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46297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46297</v>
      </c>
      <c r="F138" t="inlineStr">
        <is>
          <t>JÖNKÖPINGS LÄN</t>
        </is>
      </c>
      <c r="G138" t="inlineStr">
        <is>
          <t>ANEBY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46297</v>
      </c>
      <c r="F139" t="inlineStr">
        <is>
          <t>JÖNKÖPINGS LÄN</t>
        </is>
      </c>
      <c r="G139" t="inlineStr">
        <is>
          <t>ANEBY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12576-2026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46297</v>
      </c>
      <c r="F140" t="inlineStr">
        <is>
          <t>JÖNKÖPINGS LÄN</t>
        </is>
      </c>
      <c r="G140" t="inlineStr">
        <is>
          <t>ANEBY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46297</v>
      </c>
      <c r="F141" t="inlineStr">
        <is>
          <t>JÖNKÖPINGS LÄN</t>
        </is>
      </c>
      <c r="G141" t="inlineStr">
        <is>
          <t>ANEBY</t>
        </is>
      </c>
      <c r="H141" t="inlineStr">
        <is>
          <t>Sveaskog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46297</v>
      </c>
      <c r="F142" t="inlineStr">
        <is>
          <t>JÖNKÖPINGS LÄN</t>
        </is>
      </c>
      <c r="G142" t="inlineStr">
        <is>
          <t>ANEBY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46297</v>
      </c>
      <c r="F143" t="inlineStr">
        <is>
          <t>JÖNKÖPINGS LÄN</t>
        </is>
      </c>
      <c r="G143" t="inlineStr">
        <is>
          <t>ANEBY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46297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20.7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46297</v>
      </c>
      <c r="F145" t="inlineStr">
        <is>
          <t>JÖNKÖPINGS LÄN</t>
        </is>
      </c>
      <c r="G145" t="inlineStr">
        <is>
          <t>ANEBY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46297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46297</v>
      </c>
      <c r="F147" t="inlineStr">
        <is>
          <t>JÖNKÖPINGS LÄN</t>
        </is>
      </c>
      <c r="G147" t="inlineStr">
        <is>
          <t>ANEBY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46297</v>
      </c>
      <c r="F148" t="inlineStr">
        <is>
          <t>JÖNKÖPINGS LÄN</t>
        </is>
      </c>
      <c r="G148" t="inlineStr">
        <is>
          <t>ANEBY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46297</v>
      </c>
      <c r="F149" t="inlineStr">
        <is>
          <t>JÖNKÖPINGS LÄN</t>
        </is>
      </c>
      <c r="G149" t="inlineStr">
        <is>
          <t>ANEBY</t>
        </is>
      </c>
      <c r="H149" t="inlineStr">
        <is>
          <t>Övriga Aktiebolag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46297</v>
      </c>
      <c r="F150" t="inlineStr">
        <is>
          <t>JÖNKÖPINGS LÄN</t>
        </is>
      </c>
      <c r="G150" t="inlineStr">
        <is>
          <t>ANEBY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46297</v>
      </c>
      <c r="F151" t="inlineStr">
        <is>
          <t>JÖNKÖPINGS LÄN</t>
        </is>
      </c>
      <c r="G151" t="inlineStr">
        <is>
          <t>ANEBY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46297</v>
      </c>
      <c r="F152" t="inlineStr">
        <is>
          <t>JÖNKÖPINGS LÄN</t>
        </is>
      </c>
      <c r="G152" t="inlineStr">
        <is>
          <t>ANEBY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46105</v>
      </c>
      <c r="E153" s="1" t="n">
        <v>46297</v>
      </c>
      <c r="F153" t="inlineStr">
        <is>
          <t>JÖNKÖPINGS LÄN</t>
        </is>
      </c>
      <c r="G153" t="inlineStr">
        <is>
          <t>ANEBY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46297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46297</v>
      </c>
      <c r="F155" t="inlineStr">
        <is>
          <t>JÖNKÖPINGS LÄN</t>
        </is>
      </c>
      <c r="G155" t="inlineStr">
        <is>
          <t>ANEBY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46297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46297</v>
      </c>
      <c r="F157" t="inlineStr">
        <is>
          <t>JÖNKÖPINGS LÄN</t>
        </is>
      </c>
      <c r="G157" t="inlineStr">
        <is>
          <t>ANEBY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46297</v>
      </c>
      <c r="F158" t="inlineStr">
        <is>
          <t>JÖNKÖPINGS LÄN</t>
        </is>
      </c>
      <c r="G158" t="inlineStr">
        <is>
          <t>ANEBY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46297</v>
      </c>
      <c r="F159" t="inlineStr">
        <is>
          <t>JÖNKÖPINGS LÄN</t>
        </is>
      </c>
      <c r="G159" t="inlineStr">
        <is>
          <t>ANEBY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46297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46297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46297</v>
      </c>
      <c r="F162" t="inlineStr">
        <is>
          <t>JÖNKÖPINGS LÄN</t>
        </is>
      </c>
      <c r="G162" t="inlineStr">
        <is>
          <t>ANEBY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46297</v>
      </c>
      <c r="F163" t="inlineStr">
        <is>
          <t>JÖNKÖPINGS LÄN</t>
        </is>
      </c>
      <c r="G163" t="inlineStr">
        <is>
          <t>ANEBY</t>
        </is>
      </c>
      <c r="H163" t="inlineStr">
        <is>
          <t>Kyrkan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46297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46125</v>
      </c>
      <c r="E165" s="1" t="n">
        <v>46297</v>
      </c>
      <c r="F165" t="inlineStr">
        <is>
          <t>JÖNKÖPINGS LÄN</t>
        </is>
      </c>
      <c r="G165" t="inlineStr">
        <is>
          <t>ANEBY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46125</v>
      </c>
      <c r="E166" s="1" t="n">
        <v>46297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46297</v>
      </c>
      <c r="F167" t="inlineStr">
        <is>
          <t>JÖNKÖPINGS LÄN</t>
        </is>
      </c>
      <c r="G167" t="inlineStr">
        <is>
          <t>ANEBY</t>
        </is>
      </c>
      <c r="H167" t="inlineStr">
        <is>
          <t>Övriga Aktiebolag</t>
        </is>
      </c>
      <c r="I167" t="n">
        <v>19.6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46297</v>
      </c>
      <c r="F168" t="inlineStr">
        <is>
          <t>JÖNKÖPINGS LÄN</t>
        </is>
      </c>
      <c r="G168" t="inlineStr">
        <is>
          <t>ANEBY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46126</v>
      </c>
      <c r="E169" s="1" t="n">
        <v>46297</v>
      </c>
      <c r="F169" t="inlineStr">
        <is>
          <t>JÖNKÖPINGS LÄN</t>
        </is>
      </c>
      <c r="G169" t="inlineStr">
        <is>
          <t>ANEBY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46297</v>
      </c>
      <c r="F170" t="inlineStr">
        <is>
          <t>JÖNKÖPINGS LÄN</t>
        </is>
      </c>
      <c r="G170" t="inlineStr">
        <is>
          <t>ANEBY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45020</v>
      </c>
      <c r="E171" s="1" t="n">
        <v>46297</v>
      </c>
      <c r="F171" t="inlineStr">
        <is>
          <t>JÖNKÖPINGS LÄN</t>
        </is>
      </c>
      <c r="G171" t="inlineStr">
        <is>
          <t>ANEBY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46297</v>
      </c>
      <c r="F172" t="inlineStr">
        <is>
          <t>JÖNKÖPINGS LÄN</t>
        </is>
      </c>
      <c r="G172" t="inlineStr">
        <is>
          <t>ANEBY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46297</v>
      </c>
      <c r="F173" t="inlineStr">
        <is>
          <t>JÖNKÖPINGS LÄN</t>
        </is>
      </c>
      <c r="G173" t="inlineStr">
        <is>
          <t>ANEBY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45982</v>
      </c>
      <c r="E174" s="1" t="n">
        <v>46297</v>
      </c>
      <c r="F174" t="inlineStr">
        <is>
          <t>JÖNKÖPINGS LÄN</t>
        </is>
      </c>
      <c r="G174" t="inlineStr">
        <is>
          <t>ANEBY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46297</v>
      </c>
      <c r="F175" t="inlineStr">
        <is>
          <t>JÖNKÖPINGS LÄN</t>
        </is>
      </c>
      <c r="G175" t="inlineStr">
        <is>
          <t>ANEBY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46297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45357</v>
      </c>
      <c r="E177" s="1" t="n">
        <v>46297</v>
      </c>
      <c r="F177" t="inlineStr">
        <is>
          <t>JÖNKÖPINGS LÄN</t>
        </is>
      </c>
      <c r="G177" t="inlineStr">
        <is>
          <t>ANEBY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46297</v>
      </c>
      <c r="F178" t="inlineStr">
        <is>
          <t>JÖNKÖPINGS LÄN</t>
        </is>
      </c>
      <c r="G178" t="inlineStr">
        <is>
          <t>ANEBY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45468</v>
      </c>
      <c r="E179" s="1" t="n">
        <v>46297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46297</v>
      </c>
      <c r="F180" t="inlineStr">
        <is>
          <t>JÖNKÖPINGS LÄN</t>
        </is>
      </c>
      <c r="G180" t="inlineStr">
        <is>
          <t>ANEBY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46297</v>
      </c>
      <c r="F181" t="inlineStr">
        <is>
          <t>JÖNKÖPINGS LÄN</t>
        </is>
      </c>
      <c r="G181" t="inlineStr">
        <is>
          <t>ANEBY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46297</v>
      </c>
      <c r="F182" t="inlineStr">
        <is>
          <t>JÖNKÖPINGS LÄN</t>
        </is>
      </c>
      <c r="G182" t="inlineStr">
        <is>
          <t>ANEBY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46297</v>
      </c>
      <c r="F183" t="inlineStr">
        <is>
          <t>JÖNKÖPINGS LÄN</t>
        </is>
      </c>
      <c r="G183" t="inlineStr">
        <is>
          <t>ANEBY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46297</v>
      </c>
      <c r="F184" t="inlineStr">
        <is>
          <t>JÖNKÖPINGS LÄN</t>
        </is>
      </c>
      <c r="G184" t="inlineStr">
        <is>
          <t>ANEBY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46297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46297</v>
      </c>
      <c r="F186" t="inlineStr">
        <is>
          <t>JÖNKÖPINGS LÄN</t>
        </is>
      </c>
      <c r="G186" t="inlineStr">
        <is>
          <t>ANEBY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45379</v>
      </c>
      <c r="E187" s="1" t="n">
        <v>46297</v>
      </c>
      <c r="F187" t="inlineStr">
        <is>
          <t>JÖNKÖPINGS LÄN</t>
        </is>
      </c>
      <c r="G187" t="inlineStr">
        <is>
          <t>ANEBY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45924</v>
      </c>
      <c r="E188" s="1" t="n">
        <v>46297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43613-2023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45184</v>
      </c>
      <c r="E189" s="1" t="n">
        <v>46297</v>
      </c>
      <c r="F189" t="inlineStr">
        <is>
          <t>JÖNKÖPINGS LÄN</t>
        </is>
      </c>
      <c r="G189" t="inlineStr">
        <is>
          <t>ANEBY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46297</v>
      </c>
      <c r="F190" t="inlineStr">
        <is>
          <t>JÖNKÖPINGS LÄN</t>
        </is>
      </c>
      <c r="G190" t="inlineStr">
        <is>
          <t>ANEBY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46297</v>
      </c>
      <c r="F191" t="inlineStr">
        <is>
          <t>JÖNKÖPINGS LÄN</t>
        </is>
      </c>
      <c r="G191" t="inlineStr">
        <is>
          <t>ANEBY</t>
        </is>
      </c>
      <c r="H191" t="inlineStr">
        <is>
          <t>Övriga Aktiebolag</t>
        </is>
      </c>
      <c r="I191" t="n">
        <v>16.8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46297</v>
      </c>
      <c r="F192" t="inlineStr">
        <is>
          <t>JÖNKÖPINGS LÄN</t>
        </is>
      </c>
      <c r="G192" t="inlineStr">
        <is>
          <t>ANEBY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57174-2021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44482</v>
      </c>
      <c r="E193" s="1" t="n">
        <v>46297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23349-2023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45076</v>
      </c>
      <c r="E194" s="1" t="n">
        <v>46297</v>
      </c>
      <c r="F194" t="inlineStr">
        <is>
          <t>JÖNKÖPINGS LÄN</t>
        </is>
      </c>
      <c r="G194" t="inlineStr">
        <is>
          <t>ANEBY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46297</v>
      </c>
      <c r="F195" t="inlineStr">
        <is>
          <t>JÖNKÖPINGS LÄN</t>
        </is>
      </c>
      <c r="G195" t="inlineStr">
        <is>
          <t>ANEBY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46297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46297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45182</v>
      </c>
      <c r="E198" s="1" t="n">
        <v>46297</v>
      </c>
      <c r="F198" t="inlineStr">
        <is>
          <t>JÖNKÖPINGS LÄN</t>
        </is>
      </c>
      <c r="G198" t="inlineStr">
        <is>
          <t>ANEBY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45653</v>
      </c>
      <c r="E199" s="1" t="n">
        <v>46297</v>
      </c>
      <c r="F199" t="inlineStr">
        <is>
          <t>JÖNKÖPINGS LÄN</t>
        </is>
      </c>
      <c r="G199" t="inlineStr">
        <is>
          <t>ANEBY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46297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46297</v>
      </c>
      <c r="F201" t="inlineStr">
        <is>
          <t>JÖNKÖPINGS LÄN</t>
        </is>
      </c>
      <c r="G201" t="inlineStr">
        <is>
          <t>ANEBY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44477</v>
      </c>
      <c r="E202" s="1" t="n">
        <v>46297</v>
      </c>
      <c r="F202" t="inlineStr">
        <is>
          <t>JÖNKÖPINGS LÄN</t>
        </is>
      </c>
      <c r="G202" t="inlineStr">
        <is>
          <t>ANEBY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46297</v>
      </c>
      <c r="F203" t="inlineStr">
        <is>
          <t>JÖNKÖPINGS LÄN</t>
        </is>
      </c>
      <c r="G203" t="inlineStr">
        <is>
          <t>ANEBY</t>
        </is>
      </c>
      <c r="H203" t="inlineStr">
        <is>
          <t>Övriga Aktiebolag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46297</v>
      </c>
      <c r="F204" t="inlineStr">
        <is>
          <t>JÖNKÖPINGS LÄN</t>
        </is>
      </c>
      <c r="G204" t="inlineStr">
        <is>
          <t>ANEBY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45688</v>
      </c>
      <c r="E205" s="1" t="n">
        <v>46297</v>
      </c>
      <c r="F205" t="inlineStr">
        <is>
          <t>JÖNKÖPINGS LÄN</t>
        </is>
      </c>
      <c r="G205" t="inlineStr">
        <is>
          <t>ANEBY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46297</v>
      </c>
      <c r="F206" t="inlineStr">
        <is>
          <t>JÖNKÖPINGS LÄN</t>
        </is>
      </c>
      <c r="G206" t="inlineStr">
        <is>
          <t>ANEBY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46297</v>
      </c>
      <c r="F207" t="inlineStr">
        <is>
          <t>JÖNKÖPINGS LÄN</t>
        </is>
      </c>
      <c r="G207" t="inlineStr">
        <is>
          <t>ANEBY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46297</v>
      </c>
      <c r="F208" t="inlineStr">
        <is>
          <t>JÖNKÖPINGS LÄN</t>
        </is>
      </c>
      <c r="G208" t="inlineStr">
        <is>
          <t>ANEBY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44606</v>
      </c>
      <c r="E209" s="1" t="n">
        <v>46297</v>
      </c>
      <c r="F209" t="inlineStr">
        <is>
          <t>JÖNKÖPINGS LÄN</t>
        </is>
      </c>
      <c r="G209" t="inlineStr">
        <is>
          <t>ANEBY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45016</v>
      </c>
      <c r="E210" s="1" t="n">
        <v>46297</v>
      </c>
      <c r="F210" t="inlineStr">
        <is>
          <t>JÖNKÖPINGS LÄN</t>
        </is>
      </c>
      <c r="G210" t="inlineStr">
        <is>
          <t>ANEBY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23354-2023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45076</v>
      </c>
      <c r="E211" s="1" t="n">
        <v>46297</v>
      </c>
      <c r="F211" t="inlineStr">
        <is>
          <t>JÖNKÖPINGS LÄN</t>
        </is>
      </c>
      <c r="G211" t="inlineStr">
        <is>
          <t>ANEBY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44705</v>
      </c>
      <c r="E212" s="1" t="n">
        <v>46297</v>
      </c>
      <c r="F212" t="inlineStr">
        <is>
          <t>JÖNKÖPINGS LÄN</t>
        </is>
      </c>
      <c r="G212" t="inlineStr">
        <is>
          <t>ANEBY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45028</v>
      </c>
      <c r="E213" s="1" t="n">
        <v>46297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21356-2026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46147</v>
      </c>
      <c r="E214" s="1" t="n">
        <v>46297</v>
      </c>
      <c r="F214" t="inlineStr">
        <is>
          <t>JÖNKÖPINGS LÄN</t>
        </is>
      </c>
      <c r="G214" t="inlineStr">
        <is>
          <t>ANEBY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45086</v>
      </c>
      <c r="E215" s="1" t="n">
        <v>46297</v>
      </c>
      <c r="F215" t="inlineStr">
        <is>
          <t>JÖNKÖPINGS LÄN</t>
        </is>
      </c>
      <c r="G215" t="inlineStr">
        <is>
          <t>ANEBY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46297</v>
      </c>
      <c r="F216" t="inlineStr">
        <is>
          <t>JÖNKÖPINGS LÄN</t>
        </is>
      </c>
      <c r="G216" t="inlineStr">
        <is>
          <t>ANEBY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46297</v>
      </c>
      <c r="F217" t="inlineStr">
        <is>
          <t>JÖNKÖPINGS LÄN</t>
        </is>
      </c>
      <c r="G217" t="inlineStr">
        <is>
          <t>ANEBY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46297</v>
      </c>
      <c r="F218" t="inlineStr">
        <is>
          <t>JÖNKÖPINGS LÄN</t>
        </is>
      </c>
      <c r="G218" t="inlineStr">
        <is>
          <t>ANEBY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46297</v>
      </c>
      <c r="F219" t="inlineStr">
        <is>
          <t>JÖNKÖPINGS LÄN</t>
        </is>
      </c>
      <c r="G219" t="inlineStr">
        <is>
          <t>ANEBY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45007</v>
      </c>
      <c r="E220" s="1" t="n">
        <v>46297</v>
      </c>
      <c r="F220" t="inlineStr">
        <is>
          <t>JÖNKÖPINGS LÄN</t>
        </is>
      </c>
      <c r="G220" t="inlineStr">
        <is>
          <t>ANEBY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45384</v>
      </c>
      <c r="E221" s="1" t="n">
        <v>46297</v>
      </c>
      <c r="F221" t="inlineStr">
        <is>
          <t>JÖNKÖPINGS LÄN</t>
        </is>
      </c>
      <c r="G221" t="inlineStr">
        <is>
          <t>ANEBY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59507-2022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44900</v>
      </c>
      <c r="E222" s="1" t="n">
        <v>46297</v>
      </c>
      <c r="F222" t="inlineStr">
        <is>
          <t>JÖNKÖPINGS LÄN</t>
        </is>
      </c>
      <c r="G222" t="inlineStr">
        <is>
          <t>ANEBY</t>
        </is>
      </c>
      <c r="H222" t="inlineStr">
        <is>
          <t>Övriga Aktiebolag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46297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45077</v>
      </c>
      <c r="E224" s="1" t="n">
        <v>46297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56735-2021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46297</v>
      </c>
      <c r="F225" t="inlineStr">
        <is>
          <t>JÖNKÖPINGS LÄN</t>
        </is>
      </c>
      <c r="G225" t="inlineStr">
        <is>
          <t>ANEBY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46297</v>
      </c>
      <c r="F226" t="inlineStr">
        <is>
          <t>JÖNKÖPINGS LÄN</t>
        </is>
      </c>
      <c r="G226" t="inlineStr">
        <is>
          <t>ANEBY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45379</v>
      </c>
      <c r="E227" s="1" t="n">
        <v>46297</v>
      </c>
      <c r="F227" t="inlineStr">
        <is>
          <t>JÖNKÖPINGS LÄN</t>
        </is>
      </c>
      <c r="G227" t="inlineStr">
        <is>
          <t>ANEBY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45122</v>
      </c>
      <c r="E228" s="1" t="n">
        <v>46297</v>
      </c>
      <c r="F228" t="inlineStr">
        <is>
          <t>JÖNKÖPINGS LÄN</t>
        </is>
      </c>
      <c r="G228" t="inlineStr">
        <is>
          <t>ANEBY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46297</v>
      </c>
      <c r="F229" t="inlineStr">
        <is>
          <t>JÖNKÖPINGS LÄN</t>
        </is>
      </c>
      <c r="G229" t="inlineStr">
        <is>
          <t>ANEBY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46297</v>
      </c>
      <c r="F230" t="inlineStr">
        <is>
          <t>JÖNKÖPINGS LÄN</t>
        </is>
      </c>
      <c r="G230" t="inlineStr">
        <is>
          <t>ANEBY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46297</v>
      </c>
      <c r="F231" t="inlineStr">
        <is>
          <t>JÖNKÖPINGS LÄN</t>
        </is>
      </c>
      <c r="G231" t="inlineStr">
        <is>
          <t>ANEBY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44959</v>
      </c>
      <c r="E232" s="1" t="n">
        <v>46297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46297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45304</v>
      </c>
      <c r="E234" s="1" t="n">
        <v>46297</v>
      </c>
      <c r="F234" t="inlineStr">
        <is>
          <t>JÖNKÖPINGS LÄN</t>
        </is>
      </c>
      <c r="G234" t="inlineStr">
        <is>
          <t>ANEBY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46297</v>
      </c>
      <c r="F235" t="inlineStr">
        <is>
          <t>JÖNKÖPINGS LÄN</t>
        </is>
      </c>
      <c r="G235" t="inlineStr">
        <is>
          <t>ANEBY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45161</v>
      </c>
      <c r="E236" s="1" t="n">
        <v>46297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46297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45468</v>
      </c>
      <c r="E238" s="1" t="n">
        <v>46297</v>
      </c>
      <c r="F238" t="inlineStr">
        <is>
          <t>JÖNKÖPINGS LÄN</t>
        </is>
      </c>
      <c r="G238" t="inlineStr">
        <is>
          <t>ANEBY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46171</v>
      </c>
      <c r="E239" s="1" t="n">
        <v>46297</v>
      </c>
      <c r="F239" t="inlineStr">
        <is>
          <t>JÖNKÖPINGS LÄN</t>
        </is>
      </c>
      <c r="G239" t="inlineStr">
        <is>
          <t>ANEBY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46297</v>
      </c>
      <c r="F240" t="inlineStr">
        <is>
          <t>JÖNKÖPINGS LÄN</t>
        </is>
      </c>
      <c r="G240" t="inlineStr">
        <is>
          <t>ANEBY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46297</v>
      </c>
      <c r="F241" t="inlineStr">
        <is>
          <t>JÖNKÖPINGS LÄN</t>
        </is>
      </c>
      <c r="G241" t="inlineStr">
        <is>
          <t>ANEBY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46297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46297</v>
      </c>
      <c r="F243" t="inlineStr">
        <is>
          <t>JÖNKÖPINGS LÄN</t>
        </is>
      </c>
      <c r="G243" t="inlineStr">
        <is>
          <t>ANEBY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45593</v>
      </c>
      <c r="E244" s="1" t="n">
        <v>46297</v>
      </c>
      <c r="F244" t="inlineStr">
        <is>
          <t>JÖNKÖPINGS LÄN</t>
        </is>
      </c>
      <c r="G244" t="inlineStr">
        <is>
          <t>ANEBY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46297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50069-2024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45600</v>
      </c>
      <c r="E246" s="1" t="n">
        <v>46297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54213-2024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45616</v>
      </c>
      <c r="E247" s="1" t="n">
        <v>46297</v>
      </c>
      <c r="F247" t="inlineStr">
        <is>
          <t>JÖNKÖPINGS LÄN</t>
        </is>
      </c>
      <c r="G247" t="inlineStr">
        <is>
          <t>ANEBY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46297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44578</v>
      </c>
      <c r="E249" s="1" t="n">
        <v>46297</v>
      </c>
      <c r="F249" t="inlineStr">
        <is>
          <t>JÖNKÖPINGS LÄN</t>
        </is>
      </c>
      <c r="G249" t="inlineStr">
        <is>
          <t>ANEBY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46297</v>
      </c>
      <c r="F250" t="inlineStr">
        <is>
          <t>JÖNKÖPINGS LÄN</t>
        </is>
      </c>
      <c r="G250" t="inlineStr">
        <is>
          <t>ANEBY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45572</v>
      </c>
      <c r="E251" s="1" t="n">
        <v>46297</v>
      </c>
      <c r="F251" t="inlineStr">
        <is>
          <t>JÖNKÖPINGS LÄN</t>
        </is>
      </c>
      <c r="G251" t="inlineStr">
        <is>
          <t>ANEBY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45124</v>
      </c>
      <c r="E252" s="1" t="n">
        <v>46297</v>
      </c>
      <c r="F252" t="inlineStr">
        <is>
          <t>JÖNKÖPINGS LÄN</t>
        </is>
      </c>
      <c r="G252" t="inlineStr">
        <is>
          <t>ANEBY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45126</v>
      </c>
      <c r="E253" s="1" t="n">
        <v>46297</v>
      </c>
      <c r="F253" t="inlineStr">
        <is>
          <t>JÖNKÖPINGS LÄN</t>
        </is>
      </c>
      <c r="G253" t="inlineStr">
        <is>
          <t>ANEBY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45000</v>
      </c>
      <c r="E254" s="1" t="n">
        <v>46297</v>
      </c>
      <c r="F254" t="inlineStr">
        <is>
          <t>JÖNKÖPINGS LÄN</t>
        </is>
      </c>
      <c r="G254" t="inlineStr">
        <is>
          <t>ANEBY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46297</v>
      </c>
      <c r="F255" t="inlineStr">
        <is>
          <t>JÖNKÖPINGS LÄN</t>
        </is>
      </c>
      <c r="G255" t="inlineStr">
        <is>
          <t>ANEBY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46297</v>
      </c>
      <c r="F256" t="inlineStr">
        <is>
          <t>JÖNKÖPINGS LÄN</t>
        </is>
      </c>
      <c r="G256" t="inlineStr">
        <is>
          <t>ANEBY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46297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46297</v>
      </c>
      <c r="F258" t="inlineStr">
        <is>
          <t>JÖNKÖPINGS LÄN</t>
        </is>
      </c>
      <c r="G258" t="inlineStr">
        <is>
          <t>ANEBY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46297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46297</v>
      </c>
      <c r="F260" t="inlineStr">
        <is>
          <t>JÖNKÖPINGS LÄN</t>
        </is>
      </c>
      <c r="G260" t="inlineStr">
        <is>
          <t>ANEBY</t>
        </is>
      </c>
      <c r="H260" t="inlineStr">
        <is>
          <t>Övriga Aktiebolag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46297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46297</v>
      </c>
      <c r="F262" t="inlineStr">
        <is>
          <t>JÖNKÖPINGS LÄN</t>
        </is>
      </c>
      <c r="G262" t="inlineStr">
        <is>
          <t>ANEBY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46297</v>
      </c>
      <c r="F263" t="inlineStr">
        <is>
          <t>JÖNKÖPINGS LÄN</t>
        </is>
      </c>
      <c r="G263" t="inlineStr">
        <is>
          <t>ANEBY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46297</v>
      </c>
      <c r="F264" t="inlineStr">
        <is>
          <t>JÖNKÖPINGS LÄN</t>
        </is>
      </c>
      <c r="G264" t="inlineStr">
        <is>
          <t>ANEBY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10155-2024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45364</v>
      </c>
      <c r="E265" s="1" t="n">
        <v>46297</v>
      </c>
      <c r="F265" t="inlineStr">
        <is>
          <t>JÖNKÖPINGS LÄN</t>
        </is>
      </c>
      <c r="G265" t="inlineStr">
        <is>
          <t>ANEBY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46297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46297</v>
      </c>
      <c r="F267" t="inlineStr">
        <is>
          <t>JÖNKÖPINGS LÄN</t>
        </is>
      </c>
      <c r="G267" t="inlineStr">
        <is>
          <t>ANEBY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46297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46297</v>
      </c>
      <c r="F269" t="inlineStr">
        <is>
          <t>JÖNKÖPINGS LÄN</t>
        </is>
      </c>
      <c r="G269" t="inlineStr">
        <is>
          <t>ANEBY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46195</v>
      </c>
      <c r="E270" s="1" t="n">
        <v>46297</v>
      </c>
      <c r="F270" t="inlineStr">
        <is>
          <t>JÖNKÖPINGS LÄN</t>
        </is>
      </c>
      <c r="G270" t="inlineStr">
        <is>
          <t>ANEBY</t>
        </is>
      </c>
      <c r="H270" t="inlineStr">
        <is>
          <t>Kyrkan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46297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46297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46297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46297</v>
      </c>
      <c r="F274" t="inlineStr">
        <is>
          <t>JÖNKÖPINGS LÄN</t>
        </is>
      </c>
      <c r="G274" t="inlineStr">
        <is>
          <t>ANEBY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45146</v>
      </c>
      <c r="E275" s="1" t="n">
        <v>46297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44678</v>
      </c>
      <c r="E276" s="1" t="n">
        <v>46297</v>
      </c>
      <c r="F276" t="inlineStr">
        <is>
          <t>JÖNKÖPINGS LÄN</t>
        </is>
      </c>
      <c r="G276" t="inlineStr">
        <is>
          <t>ANEBY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46297</v>
      </c>
      <c r="F277" t="inlineStr">
        <is>
          <t>JÖNKÖPINGS LÄN</t>
        </is>
      </c>
      <c r="G277" t="inlineStr">
        <is>
          <t>ANEBY</t>
        </is>
      </c>
      <c r="I277" t="n">
        <v>13.8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44623</v>
      </c>
      <c r="E278" s="1" t="n">
        <v>46297</v>
      </c>
      <c r="F278" t="inlineStr">
        <is>
          <t>JÖNKÖPINGS LÄN</t>
        </is>
      </c>
      <c r="G278" t="inlineStr">
        <is>
          <t>ANEBY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45404</v>
      </c>
      <c r="E279" s="1" t="n">
        <v>46297</v>
      </c>
      <c r="F279" t="inlineStr">
        <is>
          <t>JÖNKÖPINGS LÄN</t>
        </is>
      </c>
      <c r="G279" t="inlineStr">
        <is>
          <t>ANEBY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46297</v>
      </c>
      <c r="F280" t="inlineStr">
        <is>
          <t>JÖNKÖPINGS LÄN</t>
        </is>
      </c>
      <c r="G280" t="inlineStr">
        <is>
          <t>ANEBY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46297</v>
      </c>
      <c r="F281" t="inlineStr">
        <is>
          <t>JÖNKÖPINGS LÄN</t>
        </is>
      </c>
      <c r="G281" t="inlineStr">
        <is>
          <t>ANEBY</t>
        </is>
      </c>
      <c r="H281" t="inlineStr">
        <is>
          <t>Kyrkan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26769-2022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46297</v>
      </c>
      <c r="F282" t="inlineStr">
        <is>
          <t>JÖNKÖPINGS LÄN</t>
        </is>
      </c>
      <c r="G282" t="inlineStr">
        <is>
          <t>ANEBY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44721</v>
      </c>
      <c r="E283" s="1" t="n">
        <v>46297</v>
      </c>
      <c r="F283" t="inlineStr">
        <is>
          <t>JÖNKÖPINGS LÄN</t>
        </is>
      </c>
      <c r="G283" t="inlineStr">
        <is>
          <t>ANEBY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34850-2026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46255</v>
      </c>
      <c r="E284" s="1" t="n">
        <v>46297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46214</v>
      </c>
      <c r="E285" s="1" t="n">
        <v>46297</v>
      </c>
      <c r="F285" t="inlineStr">
        <is>
          <t>JÖNKÖPINGS LÄN</t>
        </is>
      </c>
      <c r="G285" t="inlineStr">
        <is>
          <t>ANEBY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46214</v>
      </c>
      <c r="E286" s="1" t="n">
        <v>46297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46214</v>
      </c>
      <c r="E287" s="1" t="n">
        <v>46297</v>
      </c>
      <c r="F287" t="inlineStr">
        <is>
          <t>JÖNKÖPINGS LÄN</t>
        </is>
      </c>
      <c r="G287" t="inlineStr">
        <is>
          <t>ANEBY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46297</v>
      </c>
      <c r="F288" t="inlineStr">
        <is>
          <t>JÖNKÖPINGS LÄN</t>
        </is>
      </c>
      <c r="G288" t="inlineStr">
        <is>
          <t>ANEBY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45762</v>
      </c>
      <c r="E289" s="1" t="n">
        <v>46297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46297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46297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45300</v>
      </c>
      <c r="E292" s="1" t="n">
        <v>46297</v>
      </c>
      <c r="F292" t="inlineStr">
        <is>
          <t>JÖNKÖPINGS LÄN</t>
        </is>
      </c>
      <c r="G292" t="inlineStr">
        <is>
          <t>ANEBY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19362-2025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45769</v>
      </c>
      <c r="E293" s="1" t="n">
        <v>46297</v>
      </c>
      <c r="F293" t="inlineStr">
        <is>
          <t>JÖNKÖPINGS LÄN</t>
        </is>
      </c>
      <c r="G293" t="inlineStr">
        <is>
          <t>ANEBY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46265</v>
      </c>
      <c r="E294" s="1" t="n">
        <v>46297</v>
      </c>
      <c r="F294" t="inlineStr">
        <is>
          <t>JÖNKÖPINGS LÄN</t>
        </is>
      </c>
      <c r="G294" t="inlineStr">
        <is>
          <t>ANEBY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46265</v>
      </c>
      <c r="E295" s="1" t="n">
        <v>46297</v>
      </c>
      <c r="F295" t="inlineStr">
        <is>
          <t>JÖNKÖPINGS LÄN</t>
        </is>
      </c>
      <c r="G295" t="inlineStr">
        <is>
          <t>ANEBY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46224</v>
      </c>
      <c r="E296" s="1" t="n">
        <v>46297</v>
      </c>
      <c r="F296" t="inlineStr">
        <is>
          <t>JÖNKÖPINGS LÄN</t>
        </is>
      </c>
      <c r="G296" t="inlineStr">
        <is>
          <t>ANEBY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45304</v>
      </c>
      <c r="E297" s="1" t="n">
        <v>46297</v>
      </c>
      <c r="F297" t="inlineStr">
        <is>
          <t>JÖNKÖPINGS LÄN</t>
        </is>
      </c>
      <c r="G297" t="inlineStr">
        <is>
          <t>ANEBY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46297</v>
      </c>
      <c r="F298" t="inlineStr">
        <is>
          <t>JÖNKÖPINGS LÄN</t>
        </is>
      </c>
      <c r="G298" t="inlineStr">
        <is>
          <t>ANEBY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46297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46267</v>
      </c>
      <c r="E300" s="1" t="n">
        <v>46297</v>
      </c>
      <c r="F300" t="inlineStr">
        <is>
          <t>JÖNKÖPINGS LÄN</t>
        </is>
      </c>
      <c r="G300" t="inlineStr">
        <is>
          <t>ANEBY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46297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44847</v>
      </c>
      <c r="E302" s="1" t="n">
        <v>46297</v>
      </c>
      <c r="F302" t="inlineStr">
        <is>
          <t>JÖNKÖPINGS LÄN</t>
        </is>
      </c>
      <c r="G302" t="inlineStr">
        <is>
          <t>ANEBY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57170-2021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44482</v>
      </c>
      <c r="E303" s="1" t="n">
        <v>46297</v>
      </c>
      <c r="F303" t="inlineStr">
        <is>
          <t>JÖNKÖPINGS LÄN</t>
        </is>
      </c>
      <c r="G303" t="inlineStr">
        <is>
          <t>ANEBY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45393</v>
      </c>
      <c r="E304" s="1" t="n">
        <v>46297</v>
      </c>
      <c r="F304" t="inlineStr">
        <is>
          <t>JÖNKÖPINGS LÄN</t>
        </is>
      </c>
      <c r="G304" t="inlineStr">
        <is>
          <t>ANEBY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46297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46297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46273</v>
      </c>
      <c r="E307" s="1" t="n">
        <v>46297</v>
      </c>
      <c r="F307" t="inlineStr">
        <is>
          <t>JÖNKÖPINGS LÄN</t>
        </is>
      </c>
      <c r="G307" t="inlineStr">
        <is>
          <t>ANEBY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46297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46273</v>
      </c>
      <c r="E309" s="1" t="n">
        <v>46297</v>
      </c>
      <c r="F309" t="inlineStr">
        <is>
          <t>JÖNKÖPINGS LÄN</t>
        </is>
      </c>
      <c r="G309" t="inlineStr">
        <is>
          <t>ANEBY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67414-2021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46297</v>
      </c>
      <c r="F310" t="inlineStr">
        <is>
          <t>JÖNKÖPINGS LÄN</t>
        </is>
      </c>
      <c r="G310" t="inlineStr">
        <is>
          <t>ANEBY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44565</v>
      </c>
      <c r="E311" s="1" t="n">
        <v>46297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46297</v>
      </c>
      <c r="F312" t="inlineStr">
        <is>
          <t>JÖNKÖPINGS LÄN</t>
        </is>
      </c>
      <c r="G312" t="inlineStr">
        <is>
          <t>ANEBY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46297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4836-2023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44957</v>
      </c>
      <c r="E314" s="1" t="n">
        <v>46297</v>
      </c>
      <c r="F314" t="inlineStr">
        <is>
          <t>JÖNKÖPINGS LÄN</t>
        </is>
      </c>
      <c r="G314" t="inlineStr">
        <is>
          <t>ANEBY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35773-2023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45148</v>
      </c>
      <c r="E315" s="1" t="n">
        <v>46297</v>
      </c>
      <c r="F315" t="inlineStr">
        <is>
          <t>JÖNKÖPINGS LÄN</t>
        </is>
      </c>
      <c r="G315" t="inlineStr">
        <is>
          <t>ANEBY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55688-2022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44888</v>
      </c>
      <c r="E316" s="1" t="n">
        <v>46297</v>
      </c>
      <c r="F316" t="inlineStr">
        <is>
          <t>JÖNKÖPINGS LÄN</t>
        </is>
      </c>
      <c r="G316" t="inlineStr">
        <is>
          <t>ANEBY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46297</v>
      </c>
      <c r="F317" t="inlineStr">
        <is>
          <t>JÖNKÖPINGS LÄN</t>
        </is>
      </c>
      <c r="G317" t="inlineStr">
        <is>
          <t>ANEBY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46283</v>
      </c>
      <c r="E318" s="1" t="n">
        <v>46297</v>
      </c>
      <c r="F318" t="inlineStr">
        <is>
          <t>JÖNKÖPINGS LÄN</t>
        </is>
      </c>
      <c r="G318" t="inlineStr">
        <is>
          <t>ANEBY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46297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46286</v>
      </c>
      <c r="E320" s="1" t="n">
        <v>46297</v>
      </c>
      <c r="F320" t="inlineStr">
        <is>
          <t>JÖNKÖPINGS LÄN</t>
        </is>
      </c>
      <c r="G320" t="inlineStr">
        <is>
          <t>ANEBY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46286</v>
      </c>
      <c r="E321" s="1" t="n">
        <v>46297</v>
      </c>
      <c r="F321" t="inlineStr">
        <is>
          <t>JÖNKÖPINGS LÄN</t>
        </is>
      </c>
      <c r="G321" t="inlineStr">
        <is>
          <t>ANEBY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46297</v>
      </c>
      <c r="F322" t="inlineStr">
        <is>
          <t>JÖNKÖPINGS LÄN</t>
        </is>
      </c>
      <c r="G322" t="inlineStr">
        <is>
          <t>ANEBY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703-2024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45300</v>
      </c>
      <c r="E323" s="1" t="n">
        <v>46297</v>
      </c>
      <c r="F323" t="inlineStr">
        <is>
          <t>JÖNKÖPINGS LÄN</t>
        </is>
      </c>
      <c r="G323" t="inlineStr">
        <is>
          <t>ANEBY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46297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46297</v>
      </c>
      <c r="F325" t="inlineStr">
        <is>
          <t>JÖNKÖPINGS LÄN</t>
        </is>
      </c>
      <c r="G325" t="inlineStr">
        <is>
          <t>ANEBY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46297</v>
      </c>
      <c r="F326" t="inlineStr">
        <is>
          <t>JÖNKÖPINGS LÄN</t>
        </is>
      </c>
      <c r="G326" t="inlineStr">
        <is>
          <t>ANEBY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46297</v>
      </c>
      <c r="F327" t="inlineStr">
        <is>
          <t>JÖNKÖPINGS LÄN</t>
        </is>
      </c>
      <c r="G327" t="inlineStr">
        <is>
          <t>ANEBY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10456-2023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44981</v>
      </c>
      <c r="E328" s="1" t="n">
        <v>46297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46297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46297</v>
      </c>
      <c r="F330" t="inlineStr">
        <is>
          <t>JÖNKÖPINGS LÄN</t>
        </is>
      </c>
      <c r="G330" t="inlineStr">
        <is>
          <t>ANEBY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46297</v>
      </c>
      <c r="F331" t="inlineStr">
        <is>
          <t>JÖNKÖPINGS LÄN</t>
        </is>
      </c>
      <c r="G331" t="inlineStr">
        <is>
          <t>ANEBY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46297</v>
      </c>
      <c r="F332" t="inlineStr">
        <is>
          <t>JÖNKÖPINGS LÄN</t>
        </is>
      </c>
      <c r="G332" t="inlineStr">
        <is>
          <t>ANEBY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46297</v>
      </c>
      <c r="F333" t="inlineStr">
        <is>
          <t>JÖNKÖPINGS LÄN</t>
        </is>
      </c>
      <c r="G333" t="inlineStr">
        <is>
          <t>ANEBY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46297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45363</v>
      </c>
      <c r="E335" s="1" t="n">
        <v>46297</v>
      </c>
      <c r="F335" t="inlineStr">
        <is>
          <t>JÖNKÖPINGS LÄN</t>
        </is>
      </c>
      <c r="G335" t="inlineStr">
        <is>
          <t>ANEBY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46297</v>
      </c>
      <c r="F336" t="inlineStr">
        <is>
          <t>JÖNKÖPINGS LÄN</t>
        </is>
      </c>
      <c r="G336" t="inlineStr">
        <is>
          <t>ANEBY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45033</v>
      </c>
      <c r="E337" s="1" t="n">
        <v>46297</v>
      </c>
      <c r="F337" t="inlineStr">
        <is>
          <t>JÖNKÖPINGS LÄN</t>
        </is>
      </c>
      <c r="G337" t="inlineStr">
        <is>
          <t>ANEBY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44978</v>
      </c>
      <c r="E338" s="1" t="n">
        <v>46297</v>
      </c>
      <c r="F338" t="inlineStr">
        <is>
          <t>JÖNKÖPINGS LÄN</t>
        </is>
      </c>
      <c r="G338" t="inlineStr">
        <is>
          <t>ANEBY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45412</v>
      </c>
      <c r="E339" s="1" t="n">
        <v>46297</v>
      </c>
      <c r="F339" t="inlineStr">
        <is>
          <t>JÖNKÖPINGS LÄN</t>
        </is>
      </c>
      <c r="G339" t="inlineStr">
        <is>
          <t>ANEBY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46297</v>
      </c>
      <c r="F340" t="inlineStr">
        <is>
          <t>JÖNKÖPINGS LÄN</t>
        </is>
      </c>
      <c r="G340" t="inlineStr">
        <is>
          <t>ANEBY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46297</v>
      </c>
      <c r="F341" t="inlineStr">
        <is>
          <t>JÖNKÖPINGS LÄN</t>
        </is>
      </c>
      <c r="G341" t="inlineStr">
        <is>
          <t>ANEBY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45408</v>
      </c>
      <c r="E342" s="1" t="n">
        <v>46297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45077</v>
      </c>
      <c r="E343" s="1" t="n">
        <v>46297</v>
      </c>
      <c r="F343" t="inlineStr">
        <is>
          <t>JÖNKÖPINGS LÄN</t>
        </is>
      </c>
      <c r="G343" t="inlineStr">
        <is>
          <t>ANEBY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36690-2024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45537</v>
      </c>
      <c r="E344" s="1" t="n">
        <v>46297</v>
      </c>
      <c r="F344" t="inlineStr">
        <is>
          <t>JÖNKÖPINGS LÄN</t>
        </is>
      </c>
      <c r="G344" t="inlineStr">
        <is>
          <t>ANEBY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45357</v>
      </c>
      <c r="E345" s="1" t="n">
        <v>46297</v>
      </c>
      <c r="F345" t="inlineStr">
        <is>
          <t>JÖNKÖPINGS LÄN</t>
        </is>
      </c>
      <c r="G345" t="inlineStr">
        <is>
          <t>ANEBY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46297</v>
      </c>
      <c r="F346" t="inlineStr">
        <is>
          <t>JÖNKÖPINGS LÄN</t>
        </is>
      </c>
      <c r="G346" t="inlineStr">
        <is>
          <t>ANEBY</t>
        </is>
      </c>
      <c r="H346" t="inlineStr">
        <is>
          <t>Kyrkan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46297</v>
      </c>
      <c r="F347" t="inlineStr">
        <is>
          <t>JÖNKÖPINGS LÄN</t>
        </is>
      </c>
      <c r="G347" t="inlineStr">
        <is>
          <t>ANEBY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46297</v>
      </c>
      <c r="F348" t="inlineStr">
        <is>
          <t>JÖNKÖPINGS LÄN</t>
        </is>
      </c>
      <c r="G348" t="inlineStr">
        <is>
          <t>ANEBY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805-2022</t>
        </is>
      </c>
      <c r="B349" t="inlineStr">
        <is>
          <t>samrådsanmälan</t>
        </is>
      </c>
      <c r="C349" t="inlineStr">
        <is>
          <t>Skogsbilväg</t>
        </is>
      </c>
      <c r="D349" s="1" t="n">
        <v>44603</v>
      </c>
      <c r="E349" s="1" t="n">
        <v>46297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46297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46297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46297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46297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46297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46297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46297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46297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6634-2022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46297</v>
      </c>
      <c r="F358" t="inlineStr">
        <is>
          <t>JÖNKÖPINGS LÄN</t>
        </is>
      </c>
      <c r="G358" t="inlineStr">
        <is>
          <t>ANEBY</t>
        </is>
      </c>
      <c r="I358" t="n">
        <v>34.3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6623-2022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46297</v>
      </c>
      <c r="F359" t="inlineStr">
        <is>
          <t>JÖNKÖPINGS LÄN</t>
        </is>
      </c>
      <c r="G359" t="inlineStr">
        <is>
          <t>ANEBY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45702</v>
      </c>
      <c r="E360" s="1" t="n">
        <v>46297</v>
      </c>
      <c r="F360" t="inlineStr">
        <is>
          <t>JÖNKÖPINGS LÄN</t>
        </is>
      </c>
      <c r="G360" t="inlineStr">
        <is>
          <t>ANEBY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20-2026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46029</v>
      </c>
      <c r="E361" s="1" t="n">
        <v>46297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1152-2026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46135</v>
      </c>
      <c r="E362" s="1" t="n">
        <v>46297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2026-10-02T02:06:23Z</dcterms:created>
  <dcterms:modified xmlns:dcterms="http://purl.org/dc/terms/" xmlns:xsi="http://www.w3.org/2001/XMLSchema-instance" xsi:type="dcterms:W3CDTF">2026-10-02T02:06:24Z</dcterms:modified>
</cp:coreProperties>
</file>