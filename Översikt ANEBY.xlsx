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46293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46293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46293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46293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46293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46293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46293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46293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46293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46293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46293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46293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46293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46293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46293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46293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46293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46293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46293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46293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46293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46293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46293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46293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38728-2024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46293</v>
      </c>
      <c r="F30" t="inlineStr">
        <is>
          <t>JÖNKÖPINGS LÄN</t>
        </is>
      </c>
      <c r="G30" t="inlineStr">
        <is>
          <t>ANEBY</t>
        </is>
      </c>
      <c r="I30" t="n">
        <v>5.5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HYPERLINK("https://klasma.github.io/Logging_0604/artfynd/A 38728-2024 artfynd.xlsx", "A 38728-2024")</f>
        <v/>
      </c>
      <c r="X30">
        <f>HYPERLINK("https://klasma.github.io/Logging_0604/kartor/A 38728-2024 karta.png", "A 38728-2024")</f>
        <v/>
      </c>
      <c r="Y30">
        <f>HYPERLINK("https://klasma.github.io/Logging_0604/kartor_geotiff/A 38728-2024 georefererad karta.tif", "A 38728-2024")</f>
        <v/>
      </c>
      <c r="AA30">
        <f>HYPERLINK("https://klasma.github.io/Logging_0604/klagomål/A 38728-2024 FSC-klagomål.docx", "A 38728-2024")</f>
        <v/>
      </c>
      <c r="AB30">
        <f>HYPERLINK("https://klasma.github.io/Logging_0604/klagomålsmail/A 38728-2024 FSC-klagomål mail.docx", "A 38728-2024")</f>
        <v/>
      </c>
      <c r="AC30">
        <f>HYPERLINK("https://klasma.github.io/Logging_0604/tillsyn/A 38728-2024 tillsynsbegäran.docx", "A 38728-2024")</f>
        <v/>
      </c>
      <c r="AD30">
        <f>HYPERLINK("https://klasma.github.io/Logging_0604/tillsynsmail/A 38728-2024 tillsynsbegäran mail.docx", "A 38728-2024")</f>
        <v/>
      </c>
      <c r="AE30">
        <f>HYPERLINK("https://klasma.github.io/Logging_0604/fåglar/A 38728-2024 prioriterade fågelarter.docx", "A 38728-2024")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46293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13163-2024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45386</v>
      </c>
      <c r="E32" s="1" t="n">
        <v>46293</v>
      </c>
      <c r="F32" t="inlineStr">
        <is>
          <t>JÖNKÖPINGS LÄN</t>
        </is>
      </c>
      <c r="G32" t="inlineStr">
        <is>
          <t>ANEBY</t>
        </is>
      </c>
      <c r="I32" t="n">
        <v>6.9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HYPERLINK("https://klasma.github.io/Logging_0604/artfynd/A 13163-2024 artfynd.xlsx", "A 13163-2024")</f>
        <v/>
      </c>
      <c r="X32">
        <f>HYPERLINK("https://klasma.github.io/Logging_0604/kartor/A 13163-2024 karta.png", "A 13163-2024")</f>
        <v/>
      </c>
      <c r="Y32">
        <f>HYPERLINK("https://klasma.github.io/Logging_0604/kartor_geotiff/A 13163-2024 georefererad karta.tif", "A 13163-2024")</f>
        <v/>
      </c>
      <c r="AA32">
        <f>HYPERLINK("https://klasma.github.io/Logging_0604/klagomål/A 13163-2024 FSC-klagomål.docx", "A 13163-2024")</f>
        <v/>
      </c>
      <c r="AB32">
        <f>HYPERLINK("https://klasma.github.io/Logging_0604/klagomålsmail/A 13163-2024 FSC-klagomål mail.docx", "A 13163-2024")</f>
        <v/>
      </c>
      <c r="AC32">
        <f>HYPERLINK("https://klasma.github.io/Logging_0604/tillsyn/A 13163-2024 tillsynsbegäran.docx", "A 13163-2024")</f>
        <v/>
      </c>
      <c r="AD32">
        <f>HYPERLINK("https://klasma.github.io/Logging_0604/tillsynsmail/A 13163-2024 tillsynsbegäran mail.docx", "A 13163-2024")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46293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46293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46293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46293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46293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46293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46293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10358-2024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46293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HYPERLINK("https://klasma.github.io/Logging_0604/artfynd/A 10358-2024 artfynd.xlsx", "A 10358-2024")</f>
        <v/>
      </c>
      <c r="X40">
        <f>HYPERLINK("https://klasma.github.io/Logging_0604/kartor/A 10358-2024 karta.png", "A 10358-2024")</f>
        <v/>
      </c>
      <c r="Y40">
        <f>HYPERLINK("https://klasma.github.io/Logging_0604/kartor_geotiff/A 10358-2024 georefererad karta.tif", "A 10358-2024")</f>
        <v/>
      </c>
      <c r="AA40">
        <f>HYPERLINK("https://klasma.github.io/Logging_0604/klagomål/A 10358-2024 FSC-klagomål.docx", "A 10358-2024")</f>
        <v/>
      </c>
      <c r="AB40">
        <f>HYPERLINK("https://klasma.github.io/Logging_0604/klagomålsmail/A 10358-2024 FSC-klagomål mail.docx", "A 10358-2024")</f>
        <v/>
      </c>
      <c r="AC40">
        <f>HYPERLINK("https://klasma.github.io/Logging_0604/tillsyn/A 10358-2024 tillsynsbegäran.docx", "A 10358-2024")</f>
        <v/>
      </c>
      <c r="AD40">
        <f>HYPERLINK("https://klasma.github.io/Logging_0604/tillsynsmail/A 10358-2024 tillsynsbegäran mail.docx", "A 10358-2024")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46293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36378-2026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46293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HYPERLINK("https://klasma.github.io/Logging_0604/artfynd/A 36378-2026 artfynd.xlsx", "A 36378-2026")</f>
        <v/>
      </c>
      <c r="X42">
        <f>HYPERLINK("https://klasma.github.io/Logging_0604/kartor/A 36378-2026 karta.png", "A 36378-2026")</f>
        <v/>
      </c>
      <c r="Y42">
        <f>HYPERLINK("https://klasma.github.io/Logging_0604/kartor_geotiff/A 36378-2026 georefererad karta.tif", "A 36378-2026")</f>
        <v/>
      </c>
      <c r="AA42">
        <f>HYPERLINK("https://klasma.github.io/Logging_0604/klagomål/A 36378-2026 FSC-klagomål.docx", "A 36378-2026")</f>
        <v/>
      </c>
      <c r="AB42">
        <f>HYPERLINK("https://klasma.github.io/Logging_0604/klagomålsmail/A 36378-2026 FSC-klagomål mail.docx", "A 36378-2026")</f>
        <v/>
      </c>
      <c r="AC42">
        <f>HYPERLINK("https://klasma.github.io/Logging_0604/tillsyn/A 36378-2026 tillsynsbegäran.docx", "A 36378-2026")</f>
        <v/>
      </c>
      <c r="AD42">
        <f>HYPERLINK("https://klasma.github.io/Logging_0604/tillsynsmail/A 36378-2026 tillsynsbegäran mail.docx", "A 36378-2026")</f>
        <v/>
      </c>
      <c r="AE42">
        <f>HYPERLINK("https://klasma.github.io/Logging_0604/fåglar/A 36378-2026 prioriterade fågelarter.docx", "A 36378-2026")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46293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46293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46293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46293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46293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46293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46293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46293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46293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46293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46293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46293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46293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46293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46293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46293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46293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46293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46293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46293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46293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46293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46293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46293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46293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46293</v>
      </c>
      <c r="F72" t="inlineStr">
        <is>
          <t>JÖNKÖPINGS LÄN</t>
        </is>
      </c>
      <c r="G72" t="inlineStr">
        <is>
          <t>ANEBY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46293</v>
      </c>
      <c r="F73" t="inlineStr">
        <is>
          <t>JÖNKÖPINGS LÄN</t>
        </is>
      </c>
      <c r="G73" t="inlineStr">
        <is>
          <t>ANEBY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46293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46293</v>
      </c>
      <c r="F75" t="inlineStr">
        <is>
          <t>JÖNKÖPINGS LÄN</t>
        </is>
      </c>
      <c r="G75" t="inlineStr">
        <is>
          <t>ANEBY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46293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46293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46293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46293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46293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46293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46293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46293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46293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44860</v>
      </c>
      <c r="E85" s="1" t="n">
        <v>46293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46293</v>
      </c>
      <c r="F86" t="inlineStr">
        <is>
          <t>JÖNKÖPINGS LÄN</t>
        </is>
      </c>
      <c r="G86" t="inlineStr">
        <is>
          <t>ANEBY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46293</v>
      </c>
      <c r="F87" t="inlineStr">
        <is>
          <t>JÖNKÖPINGS LÄN</t>
        </is>
      </c>
      <c r="G87" t="inlineStr">
        <is>
          <t>ANEBY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46293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46021</v>
      </c>
      <c r="E89" s="1" t="n">
        <v>46293</v>
      </c>
      <c r="F89" t="inlineStr">
        <is>
          <t>JÖNKÖPINGS LÄN</t>
        </is>
      </c>
      <c r="G89" t="inlineStr">
        <is>
          <t>ANEBY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46293</v>
      </c>
      <c r="F90" t="inlineStr">
        <is>
          <t>JÖNKÖPINGS LÄN</t>
        </is>
      </c>
      <c r="G90" t="inlineStr">
        <is>
          <t>ANEBY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46293</v>
      </c>
      <c r="F91" t="inlineStr">
        <is>
          <t>JÖNKÖPINGS LÄN</t>
        </is>
      </c>
      <c r="G91" t="inlineStr">
        <is>
          <t>ANEBY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45454</v>
      </c>
      <c r="E92" s="1" t="n">
        <v>46293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46293</v>
      </c>
      <c r="F93" t="inlineStr">
        <is>
          <t>JÖNKÖPINGS LÄN</t>
        </is>
      </c>
      <c r="G93" t="inlineStr">
        <is>
          <t>ANEBY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46293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46293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46293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46293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46293</v>
      </c>
      <c r="F98" t="inlineStr">
        <is>
          <t>JÖNKÖPINGS LÄN</t>
        </is>
      </c>
      <c r="G98" t="inlineStr">
        <is>
          <t>ANEBY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46293</v>
      </c>
      <c r="F99" t="inlineStr">
        <is>
          <t>JÖNKÖPINGS LÄN</t>
        </is>
      </c>
      <c r="G99" t="inlineStr">
        <is>
          <t>ANEBY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46293</v>
      </c>
      <c r="F100" t="inlineStr">
        <is>
          <t>JÖNKÖPINGS LÄN</t>
        </is>
      </c>
      <c r="G100" t="inlineStr">
        <is>
          <t>ANEBY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46293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46293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46293</v>
      </c>
      <c r="F103" t="inlineStr">
        <is>
          <t>JÖNKÖPINGS LÄN</t>
        </is>
      </c>
      <c r="G103" t="inlineStr">
        <is>
          <t>ANEBY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46293</v>
      </c>
      <c r="F104" t="inlineStr">
        <is>
          <t>JÖNKÖPINGS LÄN</t>
        </is>
      </c>
      <c r="G104" t="inlineStr">
        <is>
          <t>ANEBY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  <c r="Z104">
        <f>HYPERLINK("https://klasma.github.io/Logging_0604/knärot/A 25963-2024 karta knärot.png", "A 25963-2024")</f>
        <v/>
      </c>
      <c r="AA104">
        <f>HYPERLINK("https://klasma.github.io/Logging_0604/klagomål/A 25963-2024 FSC-klagomål.docx", "A 25963-2024")</f>
        <v/>
      </c>
      <c r="AB104">
        <f>HYPERLINK("https://klasma.github.io/Logging_0604/klagomålsmail/A 25963-2024 FSC-klagomål mail.docx", "A 25963-2024")</f>
        <v/>
      </c>
      <c r="AC104">
        <f>HYPERLINK("https://klasma.github.io/Logging_0604/tillsyn/A 25963-2024 tillsynsbegäran.docx", "A 25963-2024")</f>
        <v/>
      </c>
      <c r="AD104">
        <f>HYPERLINK("https://klasma.github.io/Logging_0604/tillsynsmail/A 25963-2024 tillsynsbegäran mail.docx", "A 25963-2024")</f>
        <v/>
      </c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46293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45156</v>
      </c>
      <c r="E106" s="1" t="n">
        <v>46293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44550</v>
      </c>
      <c r="E107" s="1" t="n">
        <v>46293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27714-2024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45475</v>
      </c>
      <c r="E108" s="1" t="n">
        <v>46293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46293</v>
      </c>
      <c r="F109" t="inlineStr">
        <is>
          <t>JÖNKÖPINGS LÄN</t>
        </is>
      </c>
      <c r="G109" t="inlineStr">
        <is>
          <t>ANEBY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46293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46293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46293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46293</v>
      </c>
      <c r="F113" t="inlineStr">
        <is>
          <t>JÖNKÖPINGS LÄN</t>
        </is>
      </c>
      <c r="G113" t="inlineStr">
        <is>
          <t>ANEBY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46293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46293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46293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21026-2024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45439</v>
      </c>
      <c r="E117" s="1" t="n">
        <v>46293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12477-2023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44999</v>
      </c>
      <c r="E118" s="1" t="n">
        <v>46293</v>
      </c>
      <c r="F118" t="inlineStr">
        <is>
          <t>JÖNKÖPINGS LÄN</t>
        </is>
      </c>
      <c r="G118" t="inlineStr">
        <is>
          <t>ANEBY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46293</v>
      </c>
      <c r="F119" t="inlineStr">
        <is>
          <t>JÖNKÖPINGS LÄN</t>
        </is>
      </c>
      <c r="G119" t="inlineStr">
        <is>
          <t>ANEBY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46293</v>
      </c>
      <c r="F120" t="inlineStr">
        <is>
          <t>JÖNKÖPINGS LÄN</t>
        </is>
      </c>
      <c r="G120" t="inlineStr">
        <is>
          <t>ANEBY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6827-2026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46057</v>
      </c>
      <c r="E121" s="1" t="n">
        <v>46293</v>
      </c>
      <c r="F121" t="inlineStr">
        <is>
          <t>JÖNKÖPINGS LÄN</t>
        </is>
      </c>
      <c r="G121" t="inlineStr">
        <is>
          <t>ANEBY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46293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46058</v>
      </c>
      <c r="E123" s="1" t="n">
        <v>46293</v>
      </c>
      <c r="F123" t="inlineStr">
        <is>
          <t>JÖNKÖPINGS LÄN</t>
        </is>
      </c>
      <c r="G123" t="inlineStr">
        <is>
          <t>ANEBY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46293</v>
      </c>
      <c r="F124" t="inlineStr">
        <is>
          <t>JÖNKÖPINGS LÄN</t>
        </is>
      </c>
      <c r="G124" t="inlineStr">
        <is>
          <t>ANEBY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46293</v>
      </c>
      <c r="F125" t="inlineStr">
        <is>
          <t>JÖNKÖPINGS LÄN</t>
        </is>
      </c>
      <c r="G125" t="inlineStr">
        <is>
          <t>ANEBY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46293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43528-2025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45911</v>
      </c>
      <c r="E127" s="1" t="n">
        <v>46293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46293</v>
      </c>
      <c r="F128" t="inlineStr">
        <is>
          <t>JÖNKÖPINGS LÄN</t>
        </is>
      </c>
      <c r="G128" t="inlineStr">
        <is>
          <t>ANEBY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46293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46293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46293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46293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46293</v>
      </c>
      <c r="F133" t="inlineStr">
        <is>
          <t>JÖNKÖPINGS LÄN</t>
        </is>
      </c>
      <c r="G133" t="inlineStr">
        <is>
          <t>ANEBY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46293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46293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46293</v>
      </c>
      <c r="F136" t="inlineStr">
        <is>
          <t>JÖNKÖPINGS LÄN</t>
        </is>
      </c>
      <c r="G136" t="inlineStr">
        <is>
          <t>ANEBY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46293</v>
      </c>
      <c r="F137" t="inlineStr">
        <is>
          <t>JÖNKÖPINGS LÄN</t>
        </is>
      </c>
      <c r="G137" t="inlineStr">
        <is>
          <t>ANEBY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46293</v>
      </c>
      <c r="F138" t="inlineStr">
        <is>
          <t>JÖNKÖPINGS LÄN</t>
        </is>
      </c>
      <c r="G138" t="inlineStr">
        <is>
          <t>ANEBY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46293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46293</v>
      </c>
      <c r="F140" t="inlineStr">
        <is>
          <t>JÖNKÖPINGS LÄN</t>
        </is>
      </c>
      <c r="G140" t="inlineStr">
        <is>
          <t>ANEBY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45586</v>
      </c>
      <c r="E141" s="1" t="n">
        <v>46293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46293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46293</v>
      </c>
      <c r="F143" t="inlineStr">
        <is>
          <t>JÖNKÖPINGS LÄN</t>
        </is>
      </c>
      <c r="G143" t="inlineStr">
        <is>
          <t>ANEBY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46293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46293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46293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46293</v>
      </c>
      <c r="F147" t="inlineStr">
        <is>
          <t>JÖNKÖPINGS LÄN</t>
        </is>
      </c>
      <c r="G147" t="inlineStr">
        <is>
          <t>ANEBY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46293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46293</v>
      </c>
      <c r="F149" t="inlineStr">
        <is>
          <t>JÖNKÖPINGS LÄN</t>
        </is>
      </c>
      <c r="G149" t="inlineStr">
        <is>
          <t>ANEBY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46293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46293</v>
      </c>
      <c r="F151" t="inlineStr">
        <is>
          <t>JÖNKÖPINGS LÄN</t>
        </is>
      </c>
      <c r="G151" t="inlineStr">
        <is>
          <t>ANEBY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46293</v>
      </c>
      <c r="F152" t="inlineStr">
        <is>
          <t>JÖNKÖPINGS LÄN</t>
        </is>
      </c>
      <c r="G152" t="inlineStr">
        <is>
          <t>ANEBY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46293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45727</v>
      </c>
      <c r="E154" s="1" t="n">
        <v>46293</v>
      </c>
      <c r="F154" t="inlineStr">
        <is>
          <t>JÖNKÖPINGS LÄN</t>
        </is>
      </c>
      <c r="G154" t="inlineStr">
        <is>
          <t>ANEBY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46293</v>
      </c>
      <c r="F155" t="inlineStr">
        <is>
          <t>JÖNKÖPINGS LÄN</t>
        </is>
      </c>
      <c r="G155" t="inlineStr">
        <is>
          <t>ANEBY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46293</v>
      </c>
      <c r="F156" t="inlineStr">
        <is>
          <t>JÖNKÖPINGS LÄN</t>
        </is>
      </c>
      <c r="G156" t="inlineStr">
        <is>
          <t>ANEBY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46293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46293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46293</v>
      </c>
      <c r="F159" t="inlineStr">
        <is>
          <t>JÖNKÖPINGS LÄN</t>
        </is>
      </c>
      <c r="G159" t="inlineStr">
        <is>
          <t>ANEBY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46293</v>
      </c>
      <c r="F160" t="inlineStr">
        <is>
          <t>JÖNKÖPINGS LÄN</t>
        </is>
      </c>
      <c r="G160" t="inlineStr">
        <is>
          <t>ANEBY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46293</v>
      </c>
      <c r="F161" t="inlineStr">
        <is>
          <t>JÖNKÖPINGS LÄN</t>
        </is>
      </c>
      <c r="G161" t="inlineStr">
        <is>
          <t>ANEBY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46293</v>
      </c>
      <c r="F162" t="inlineStr">
        <is>
          <t>JÖNKÖPINGS LÄN</t>
        </is>
      </c>
      <c r="G162" t="inlineStr">
        <is>
          <t>ANEBY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46293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46293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46293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46293</v>
      </c>
      <c r="F166" t="inlineStr">
        <is>
          <t>JÖNKÖPINGS LÄN</t>
        </is>
      </c>
      <c r="G166" t="inlineStr">
        <is>
          <t>ANEBY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46293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46293</v>
      </c>
      <c r="F168" t="inlineStr">
        <is>
          <t>JÖNKÖPINGS LÄN</t>
        </is>
      </c>
      <c r="G168" t="inlineStr">
        <is>
          <t>ANEBY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46293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46293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46293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46293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46293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46293</v>
      </c>
      <c r="F174" t="inlineStr">
        <is>
          <t>JÖNKÖPINGS LÄN</t>
        </is>
      </c>
      <c r="G174" t="inlineStr">
        <is>
          <t>ANEBY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46293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46293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45141</v>
      </c>
      <c r="E177" s="1" t="n">
        <v>46293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46293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46293</v>
      </c>
      <c r="F179" t="inlineStr">
        <is>
          <t>JÖNKÖPINGS LÄN</t>
        </is>
      </c>
      <c r="G179" t="inlineStr">
        <is>
          <t>ANEBY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46293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46293</v>
      </c>
      <c r="F181" t="inlineStr">
        <is>
          <t>JÖNKÖPINGS LÄN</t>
        </is>
      </c>
      <c r="G181" t="inlineStr">
        <is>
          <t>ANEBY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43613-2023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45184</v>
      </c>
      <c r="E182" s="1" t="n">
        <v>46293</v>
      </c>
      <c r="F182" t="inlineStr">
        <is>
          <t>JÖNKÖPINGS LÄN</t>
        </is>
      </c>
      <c r="G182" t="inlineStr">
        <is>
          <t>ANEBY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44482</v>
      </c>
      <c r="E183" s="1" t="n">
        <v>46293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46293</v>
      </c>
      <c r="F184" t="inlineStr">
        <is>
          <t>JÖNKÖPINGS LÄN</t>
        </is>
      </c>
      <c r="G184" t="inlineStr">
        <is>
          <t>ANEBY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46293</v>
      </c>
      <c r="F185" t="inlineStr">
        <is>
          <t>JÖNKÖPINGS LÄN</t>
        </is>
      </c>
      <c r="G185" t="inlineStr">
        <is>
          <t>ANEBY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46293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45076</v>
      </c>
      <c r="E187" s="1" t="n">
        <v>46293</v>
      </c>
      <c r="F187" t="inlineStr">
        <is>
          <t>JÖNKÖPINGS LÄN</t>
        </is>
      </c>
      <c r="G187" t="inlineStr">
        <is>
          <t>ANEBY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46293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46293</v>
      </c>
      <c r="F189" t="inlineStr">
        <is>
          <t>JÖNKÖPINGS LÄN</t>
        </is>
      </c>
      <c r="G189" t="inlineStr">
        <is>
          <t>ANEBY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46293</v>
      </c>
      <c r="F190" t="inlineStr">
        <is>
          <t>JÖNKÖPINGS LÄN</t>
        </is>
      </c>
      <c r="G190" t="inlineStr">
        <is>
          <t>ANEBY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45182</v>
      </c>
      <c r="E191" s="1" t="n">
        <v>46293</v>
      </c>
      <c r="F191" t="inlineStr">
        <is>
          <t>JÖNKÖPINGS LÄN</t>
        </is>
      </c>
      <c r="G191" t="inlineStr">
        <is>
          <t>ANEBY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45653</v>
      </c>
      <c r="E192" s="1" t="n">
        <v>46293</v>
      </c>
      <c r="F192" t="inlineStr">
        <is>
          <t>JÖNKÖPINGS LÄN</t>
        </is>
      </c>
      <c r="G192" t="inlineStr">
        <is>
          <t>ANEBY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46293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44477</v>
      </c>
      <c r="E194" s="1" t="n">
        <v>46293</v>
      </c>
      <c r="F194" t="inlineStr">
        <is>
          <t>JÖNKÖPINGS LÄN</t>
        </is>
      </c>
      <c r="G194" t="inlineStr">
        <is>
          <t>ANEBY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46293</v>
      </c>
      <c r="F195" t="inlineStr">
        <is>
          <t>JÖNKÖPINGS LÄN</t>
        </is>
      </c>
      <c r="G195" t="inlineStr">
        <is>
          <t>ANEBY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46293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46293</v>
      </c>
      <c r="F197" t="inlineStr">
        <is>
          <t>JÖNKÖPINGS LÄN</t>
        </is>
      </c>
      <c r="G197" t="inlineStr">
        <is>
          <t>ANEBY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46293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45033</v>
      </c>
      <c r="E199" s="1" t="n">
        <v>46293</v>
      </c>
      <c r="F199" t="inlineStr">
        <is>
          <t>JÖNKÖPINGS LÄN</t>
        </is>
      </c>
      <c r="G199" t="inlineStr">
        <is>
          <t>ANEBY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46293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16.8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46293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46293</v>
      </c>
      <c r="F202" t="inlineStr">
        <is>
          <t>JÖNKÖPINGS LÄN</t>
        </is>
      </c>
      <c r="G202" t="inlineStr">
        <is>
          <t>ANEBY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46293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45016</v>
      </c>
      <c r="E204" s="1" t="n">
        <v>46293</v>
      </c>
      <c r="F204" t="inlineStr">
        <is>
          <t>JÖNKÖPINGS LÄN</t>
        </is>
      </c>
      <c r="G204" t="inlineStr">
        <is>
          <t>ANEBY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45076</v>
      </c>
      <c r="E205" s="1" t="n">
        <v>46293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46147</v>
      </c>
      <c r="E206" s="1" t="n">
        <v>46293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46293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46293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45086</v>
      </c>
      <c r="E209" s="1" t="n">
        <v>46293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46293</v>
      </c>
      <c r="F210" t="inlineStr">
        <is>
          <t>JÖNKÖPINGS LÄN</t>
        </is>
      </c>
      <c r="G210" t="inlineStr">
        <is>
          <t>ANEBY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46293</v>
      </c>
      <c r="F211" t="inlineStr">
        <is>
          <t>JÖNKÖPINGS LÄN</t>
        </is>
      </c>
      <c r="G211" t="inlineStr">
        <is>
          <t>ANEBY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46293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46293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46293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46293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46293</v>
      </c>
      <c r="F216" t="inlineStr">
        <is>
          <t>JÖNKÖPINGS LÄN</t>
        </is>
      </c>
      <c r="G216" t="inlineStr">
        <is>
          <t>ANEBY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46293</v>
      </c>
      <c r="F217" t="inlineStr">
        <is>
          <t>JÖNKÖPINGS LÄN</t>
        </is>
      </c>
      <c r="G217" t="inlineStr">
        <is>
          <t>ANEBY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46293</v>
      </c>
      <c r="F218" t="inlineStr">
        <is>
          <t>JÖNKÖPINGS LÄN</t>
        </is>
      </c>
      <c r="G218" t="inlineStr">
        <is>
          <t>ANEBY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44900</v>
      </c>
      <c r="E219" s="1" t="n">
        <v>46293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46293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46293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46293</v>
      </c>
      <c r="F222" t="inlineStr">
        <is>
          <t>JÖNKÖPINGS LÄN</t>
        </is>
      </c>
      <c r="G222" t="inlineStr">
        <is>
          <t>ANEBY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46293</v>
      </c>
      <c r="F223" t="inlineStr">
        <is>
          <t>JÖNKÖPINGS LÄN</t>
        </is>
      </c>
      <c r="G223" t="inlineStr">
        <is>
          <t>ANEBY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46293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46293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45688</v>
      </c>
      <c r="E226" s="1" t="n">
        <v>46293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46293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46293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46293</v>
      </c>
      <c r="F229" t="inlineStr">
        <is>
          <t>JÖNKÖPINGS LÄN</t>
        </is>
      </c>
      <c r="G229" t="inlineStr">
        <is>
          <t>ANEBY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46293</v>
      </c>
      <c r="F230" t="inlineStr">
        <is>
          <t>JÖNKÖPINGS LÄN</t>
        </is>
      </c>
      <c r="G230" t="inlineStr">
        <is>
          <t>ANEBY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46293</v>
      </c>
      <c r="F231" t="inlineStr">
        <is>
          <t>JÖNKÖPINGS LÄN</t>
        </is>
      </c>
      <c r="G231" t="inlineStr">
        <is>
          <t>ANEBY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46293</v>
      </c>
      <c r="F232" t="inlineStr">
        <is>
          <t>JÖNKÖPINGS LÄN</t>
        </is>
      </c>
      <c r="G232" t="inlineStr">
        <is>
          <t>ANEBY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46293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45304</v>
      </c>
      <c r="E234" s="1" t="n">
        <v>46293</v>
      </c>
      <c r="F234" t="inlineStr">
        <is>
          <t>JÖNKÖPINGS LÄN</t>
        </is>
      </c>
      <c r="G234" t="inlineStr">
        <is>
          <t>ANEBY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46293</v>
      </c>
      <c r="F235" t="inlineStr">
        <is>
          <t>JÖNKÖPINGS LÄN</t>
        </is>
      </c>
      <c r="G235" t="inlineStr">
        <is>
          <t>ANEBY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45161</v>
      </c>
      <c r="E236" s="1" t="n">
        <v>46293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45468</v>
      </c>
      <c r="E237" s="1" t="n">
        <v>46293</v>
      </c>
      <c r="F237" t="inlineStr">
        <is>
          <t>JÖNKÖPINGS LÄN</t>
        </is>
      </c>
      <c r="G237" t="inlineStr">
        <is>
          <t>ANEBY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46293</v>
      </c>
      <c r="F238" t="inlineStr">
        <is>
          <t>JÖNKÖPINGS LÄN</t>
        </is>
      </c>
      <c r="G238" t="inlineStr">
        <is>
          <t>ANEBY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45552</v>
      </c>
      <c r="E239" s="1" t="n">
        <v>46293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46293</v>
      </c>
      <c r="F240" t="inlineStr">
        <is>
          <t>JÖNKÖPINGS LÄN</t>
        </is>
      </c>
      <c r="G240" t="inlineStr">
        <is>
          <t>ANEBY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46293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27136-2026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46293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46293</v>
      </c>
      <c r="F243" t="inlineStr">
        <is>
          <t>JÖNKÖPINGS LÄN</t>
        </is>
      </c>
      <c r="G243" t="inlineStr">
        <is>
          <t>ANEBY</t>
        </is>
      </c>
      <c r="H243" t="inlineStr">
        <is>
          <t>Övriga Aktiebolag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46293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46293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50069-2024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45600</v>
      </c>
      <c r="E246" s="1" t="n">
        <v>46293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54213-2024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45616</v>
      </c>
      <c r="E247" s="1" t="n">
        <v>46293</v>
      </c>
      <c r="F247" t="inlineStr">
        <is>
          <t>JÖNKÖPINGS LÄN</t>
        </is>
      </c>
      <c r="G247" t="inlineStr">
        <is>
          <t>ANEBY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46293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46293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44578</v>
      </c>
      <c r="E250" s="1" t="n">
        <v>46293</v>
      </c>
      <c r="F250" t="inlineStr">
        <is>
          <t>JÖNKÖPINGS LÄN</t>
        </is>
      </c>
      <c r="G250" t="inlineStr">
        <is>
          <t>ANEBY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46293</v>
      </c>
      <c r="F251" t="inlineStr">
        <is>
          <t>JÖNKÖPINGS LÄN</t>
        </is>
      </c>
      <c r="G251" t="inlineStr">
        <is>
          <t>ANEBY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46293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46293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45124</v>
      </c>
      <c r="E254" s="1" t="n">
        <v>46293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46293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46293</v>
      </c>
      <c r="F256" t="inlineStr">
        <is>
          <t>JÖNKÖPINGS LÄN</t>
        </is>
      </c>
      <c r="G256" t="inlineStr">
        <is>
          <t>ANEBY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46293</v>
      </c>
      <c r="F257" t="inlineStr">
        <is>
          <t>JÖNKÖPINGS LÄN</t>
        </is>
      </c>
      <c r="G257" t="inlineStr">
        <is>
          <t>ANEBY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46293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46293</v>
      </c>
      <c r="F259" t="inlineStr">
        <is>
          <t>JÖNKÖPINGS LÄN</t>
        </is>
      </c>
      <c r="G259" t="inlineStr">
        <is>
          <t>ANEBY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46293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46293</v>
      </c>
      <c r="F261" t="inlineStr">
        <is>
          <t>JÖNKÖPINGS LÄN</t>
        </is>
      </c>
      <c r="G261" t="inlineStr">
        <is>
          <t>ANEBY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46293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45616</v>
      </c>
      <c r="E263" s="1" t="n">
        <v>46293</v>
      </c>
      <c r="F263" t="inlineStr">
        <is>
          <t>JÖNKÖPINGS LÄN</t>
        </is>
      </c>
      <c r="G263" t="inlineStr">
        <is>
          <t>ANEBY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46293</v>
      </c>
      <c r="F264" t="inlineStr">
        <is>
          <t>JÖNKÖPINGS LÄN</t>
        </is>
      </c>
      <c r="G264" t="inlineStr">
        <is>
          <t>ANEBY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45610</v>
      </c>
      <c r="E265" s="1" t="n">
        <v>46293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46293</v>
      </c>
      <c r="F266" t="inlineStr">
        <is>
          <t>JÖNKÖPINGS LÄN</t>
        </is>
      </c>
      <c r="G266" t="inlineStr">
        <is>
          <t>ANEBY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10155-2024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45364</v>
      </c>
      <c r="E267" s="1" t="n">
        <v>46293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46293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46293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46293</v>
      </c>
      <c r="F270" t="inlineStr">
        <is>
          <t>JÖNKÖPINGS LÄN</t>
        </is>
      </c>
      <c r="G270" t="inlineStr">
        <is>
          <t>ANEBY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46254</v>
      </c>
      <c r="E271" s="1" t="n">
        <v>46293</v>
      </c>
      <c r="F271" t="inlineStr">
        <is>
          <t>JÖNKÖPINGS LÄN</t>
        </is>
      </c>
      <c r="G271" t="inlineStr">
        <is>
          <t>ANEBY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46293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46254</v>
      </c>
      <c r="E273" s="1" t="n">
        <v>46293</v>
      </c>
      <c r="F273" t="inlineStr">
        <is>
          <t>JÖNKÖPINGS LÄN</t>
        </is>
      </c>
      <c r="G273" t="inlineStr">
        <is>
          <t>ANEBY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46293</v>
      </c>
      <c r="F274" t="inlineStr">
        <is>
          <t>JÖNKÖPINGS LÄN</t>
        </is>
      </c>
      <c r="G274" t="inlineStr">
        <is>
          <t>ANEBY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45146</v>
      </c>
      <c r="E275" s="1" t="n">
        <v>46293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34850-2026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46255</v>
      </c>
      <c r="E276" s="1" t="n">
        <v>46293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44678</v>
      </c>
      <c r="E277" s="1" t="n">
        <v>46293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46293</v>
      </c>
      <c r="F278" t="inlineStr">
        <is>
          <t>JÖNKÖPINGS LÄN</t>
        </is>
      </c>
      <c r="G278" t="inlineStr">
        <is>
          <t>ANEBY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46293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46293</v>
      </c>
      <c r="F280" t="inlineStr">
        <is>
          <t>JÖNKÖPINGS LÄN</t>
        </is>
      </c>
      <c r="G280" t="inlineStr">
        <is>
          <t>ANEBY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44623</v>
      </c>
      <c r="E281" s="1" t="n">
        <v>46293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46293</v>
      </c>
      <c r="F282" t="inlineStr">
        <is>
          <t>JÖNKÖPINGS LÄN</t>
        </is>
      </c>
      <c r="G282" t="inlineStr">
        <is>
          <t>ANEBY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46293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46293</v>
      </c>
      <c r="F284" t="inlineStr">
        <is>
          <t>JÖNKÖPINGS LÄN</t>
        </is>
      </c>
      <c r="G284" t="inlineStr">
        <is>
          <t>ANEBY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44671</v>
      </c>
      <c r="E285" s="1" t="n">
        <v>46293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46293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44721</v>
      </c>
      <c r="E287" s="1" t="n">
        <v>46293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46293</v>
      </c>
      <c r="F288" t="inlineStr">
        <is>
          <t>JÖNKÖPINGS LÄN</t>
        </is>
      </c>
      <c r="G288" t="inlineStr">
        <is>
          <t>ANEBY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46265</v>
      </c>
      <c r="E289" s="1" t="n">
        <v>46293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46293</v>
      </c>
      <c r="F290" t="inlineStr">
        <is>
          <t>JÖNKÖPINGS LÄN</t>
        </is>
      </c>
      <c r="G290" t="inlineStr">
        <is>
          <t>ANEBY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46293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46293</v>
      </c>
      <c r="F292" t="inlineStr">
        <is>
          <t>JÖNKÖPINGS LÄN</t>
        </is>
      </c>
      <c r="G292" t="inlineStr">
        <is>
          <t>ANEBY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46293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46293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46267</v>
      </c>
      <c r="E295" s="1" t="n">
        <v>46293</v>
      </c>
      <c r="F295" t="inlineStr">
        <is>
          <t>JÖNKÖPINGS LÄN</t>
        </is>
      </c>
      <c r="G295" t="inlineStr">
        <is>
          <t>ANEBY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46293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19362-2025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45769</v>
      </c>
      <c r="E297" s="1" t="n">
        <v>46293</v>
      </c>
      <c r="F297" t="inlineStr">
        <is>
          <t>JÖNKÖPINGS LÄN</t>
        </is>
      </c>
      <c r="G297" t="inlineStr">
        <is>
          <t>ANEBY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45304</v>
      </c>
      <c r="E298" s="1" t="n">
        <v>46293</v>
      </c>
      <c r="F298" t="inlineStr">
        <is>
          <t>JÖNKÖPINGS LÄN</t>
        </is>
      </c>
      <c r="G298" t="inlineStr">
        <is>
          <t>ANEBY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46293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46293</v>
      </c>
      <c r="F300" t="inlineStr">
        <is>
          <t>JÖNKÖPINGS LÄN</t>
        </is>
      </c>
      <c r="G300" t="inlineStr">
        <is>
          <t>ANEBY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46293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46273</v>
      </c>
      <c r="E302" s="1" t="n">
        <v>46293</v>
      </c>
      <c r="F302" t="inlineStr">
        <is>
          <t>JÖNKÖPINGS LÄN</t>
        </is>
      </c>
      <c r="G302" t="inlineStr">
        <is>
          <t>ANEBY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44847</v>
      </c>
      <c r="E303" s="1" t="n">
        <v>46293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46293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46293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46293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46293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46293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46293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46286</v>
      </c>
      <c r="E310" s="1" t="n">
        <v>46293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46293</v>
      </c>
      <c r="F311" t="inlineStr">
        <is>
          <t>JÖNKÖPINGS LÄN</t>
        </is>
      </c>
      <c r="G311" t="inlineStr">
        <is>
          <t>ANEBY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67414-2021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46293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44565</v>
      </c>
      <c r="E313" s="1" t="n">
        <v>46293</v>
      </c>
      <c r="F313" t="inlineStr">
        <is>
          <t>JÖNKÖPINGS LÄN</t>
        </is>
      </c>
      <c r="G313" t="inlineStr">
        <is>
          <t>ANEBY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46293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46293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44957</v>
      </c>
      <c r="E316" s="1" t="n">
        <v>46293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35773-2023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45148</v>
      </c>
      <c r="E317" s="1" t="n">
        <v>46293</v>
      </c>
      <c r="F317" t="inlineStr">
        <is>
          <t>JÖNKÖPINGS LÄN</t>
        </is>
      </c>
      <c r="G317" t="inlineStr">
        <is>
          <t>ANEBY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46293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45363</v>
      </c>
      <c r="E319" s="1" t="n">
        <v>46293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45365</v>
      </c>
      <c r="E320" s="1" t="n">
        <v>46293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46293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46293</v>
      </c>
      <c r="F322" t="inlineStr">
        <is>
          <t>JÖNKÖPINGS LÄN</t>
        </is>
      </c>
      <c r="G322" t="inlineStr">
        <is>
          <t>ANEBY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45184</v>
      </c>
      <c r="E323" s="1" t="n">
        <v>46293</v>
      </c>
      <c r="F323" t="inlineStr">
        <is>
          <t>JÖNKÖPINGS LÄN</t>
        </is>
      </c>
      <c r="G323" t="inlineStr">
        <is>
          <t>ANEBY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46293</v>
      </c>
      <c r="F324" t="inlineStr">
        <is>
          <t>JÖNKÖPINGS LÄN</t>
        </is>
      </c>
      <c r="G324" t="inlineStr">
        <is>
          <t>ANEBY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44620</v>
      </c>
      <c r="E325" s="1" t="n">
        <v>46293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46293</v>
      </c>
      <c r="F326" t="inlineStr">
        <is>
          <t>JÖNKÖPINGS LÄN</t>
        </is>
      </c>
      <c r="G326" t="inlineStr">
        <is>
          <t>ANEBY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44981</v>
      </c>
      <c r="E327" s="1" t="n">
        <v>46293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46293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46293</v>
      </c>
      <c r="F329" t="inlineStr">
        <is>
          <t>JÖNKÖPINGS LÄN</t>
        </is>
      </c>
      <c r="G329" t="inlineStr">
        <is>
          <t>ANEBY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45146</v>
      </c>
      <c r="E330" s="1" t="n">
        <v>46293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46293</v>
      </c>
      <c r="F331" t="inlineStr">
        <is>
          <t>JÖNKÖPINGS LÄN</t>
        </is>
      </c>
      <c r="G331" t="inlineStr">
        <is>
          <t>ANEBY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46293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45033</v>
      </c>
      <c r="E333" s="1" t="n">
        <v>46293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44978</v>
      </c>
      <c r="E334" s="1" t="n">
        <v>46293</v>
      </c>
      <c r="F334" t="inlineStr">
        <is>
          <t>JÖNKÖPINGS LÄN</t>
        </is>
      </c>
      <c r="G334" t="inlineStr">
        <is>
          <t>ANEBY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45412</v>
      </c>
      <c r="E335" s="1" t="n">
        <v>46293</v>
      </c>
      <c r="F335" t="inlineStr">
        <is>
          <t>JÖNKÖPINGS LÄN</t>
        </is>
      </c>
      <c r="G335" t="inlineStr">
        <is>
          <t>ANEBY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45097</v>
      </c>
      <c r="E336" s="1" t="n">
        <v>46293</v>
      </c>
      <c r="F336" t="inlineStr">
        <is>
          <t>JÖNKÖPINGS LÄN</t>
        </is>
      </c>
      <c r="G336" t="inlineStr">
        <is>
          <t>ANEBY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45365</v>
      </c>
      <c r="E337" s="1" t="n">
        <v>46293</v>
      </c>
      <c r="F337" t="inlineStr">
        <is>
          <t>JÖNKÖPINGS LÄN</t>
        </is>
      </c>
      <c r="G337" t="inlineStr">
        <is>
          <t>ANEBY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45408</v>
      </c>
      <c r="E338" s="1" t="n">
        <v>46293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46293</v>
      </c>
      <c r="F339" t="inlineStr">
        <is>
          <t>JÖNKÖPINGS LÄN</t>
        </is>
      </c>
      <c r="G339" t="inlineStr">
        <is>
          <t>ANEBY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46293</v>
      </c>
      <c r="F340" t="inlineStr">
        <is>
          <t>JÖNKÖPINGS LÄN</t>
        </is>
      </c>
      <c r="G340" t="inlineStr">
        <is>
          <t>ANEBY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46293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46293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46293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46293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46293</v>
      </c>
      <c r="F345" t="inlineStr">
        <is>
          <t>JÖNKÖPINGS LÄN</t>
        </is>
      </c>
      <c r="G345" t="inlineStr">
        <is>
          <t>ANEBY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46293</v>
      </c>
      <c r="F346" t="inlineStr">
        <is>
          <t>JÖNKÖPINGS LÄN</t>
        </is>
      </c>
      <c r="G346" t="inlineStr">
        <is>
          <t>ANEBY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46293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46293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46293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46293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46293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46293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46293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46293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46293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46293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46293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46293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46293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46293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46293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2026-09-28T01:59:14Z</dcterms:created>
  <dcterms:modified xmlns:dcterms="http://purl.org/dc/terms/" xmlns:xsi="http://www.w3.org/2001/XMLSchema-instance" xsi:type="dcterms:W3CDTF">2026-09-28T01:59:14Z</dcterms:modified>
</cp:coreProperties>
</file>