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45715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45715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45715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45715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45715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45715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45715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45715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45715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45715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45715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45715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45715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45715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45715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45715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45715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45715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45715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45715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45715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45715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8131-2025</t>
        </is>
      </c>
      <c r="B24" s="1" t="n">
        <v>45707</v>
      </c>
      <c r="C24" s="1" t="n">
        <v>45715</v>
      </c>
      <c r="D24" t="inlineStr">
        <is>
          <t>JÖNKÖPINGS LÄN</t>
        </is>
      </c>
      <c r="E24" t="inlineStr">
        <is>
          <t>ANEBY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HYPERLINK("https://klasma.github.io/Logging_0604/artfynd/A 8131-2025 artfynd.xlsx", "A 8131-2025")</f>
        <v/>
      </c>
      <c r="T24">
        <f>HYPERLINK("https://klasma.github.io/Logging_0604/kartor/A 8131-2025 karta.png", "A 8131-2025")</f>
        <v/>
      </c>
      <c r="V24">
        <f>HYPERLINK("https://klasma.github.io/Logging_0604/klagomål/A 8131-2025 FSC-klagomål.docx", "A 8131-2025")</f>
        <v/>
      </c>
      <c r="W24">
        <f>HYPERLINK("https://klasma.github.io/Logging_0604/klagomålsmail/A 8131-2025 FSC-klagomål mail.docx", "A 8131-2025")</f>
        <v/>
      </c>
      <c r="X24">
        <f>HYPERLINK("https://klasma.github.io/Logging_0604/tillsyn/A 8131-2025 tillsynsbegäran.docx", "A 8131-2025")</f>
        <v/>
      </c>
      <c r="Y24">
        <f>HYPERLINK("https://klasma.github.io/Logging_0604/tillsynsmail/A 8131-2025 tillsynsbegäran mail.docx", "A 8131-2025")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45715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45715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45715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45715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45715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45715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45715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45715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45715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45715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45715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45715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45715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45715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45715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45715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45715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45715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45715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45715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45715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45715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45715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45715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45715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45715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45715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45715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45715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45715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45715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45715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45715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45715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45715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45715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45715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45715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45715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45715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45715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45715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45715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45715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45715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45715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45715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45715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45715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45715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45715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45715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45715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45715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45715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45715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45715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45715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45715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45715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45715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45715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45715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45715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45715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45715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45715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45715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45715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45715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45715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45715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45715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45715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45715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45715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45715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45715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45715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45715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45715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45715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45715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45715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45715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45715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45715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45715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45715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45715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45715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45715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45715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45715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45715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45715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45715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45715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45715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45715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45715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45715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45715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45715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45715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45715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45715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45715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45715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45715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45715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45715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45715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45715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45715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45715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45715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45715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45715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45715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45715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45715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45715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45715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45715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45715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45715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45715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45715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45715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45715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45715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45715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45715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45715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45715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45715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45715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45715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45715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45715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45715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45715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45715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45715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45715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45715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45715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45715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45715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45715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45715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45715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45715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45715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45715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45715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45715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45715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45715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45715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45715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45715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45715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45715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45715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45715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45715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45715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45715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45715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45715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45715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45715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45715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45715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45715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45715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45715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45715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45715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45715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45715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45715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45715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45715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45715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45715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45715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45715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45715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45715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45715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45715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45715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45715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45715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45715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45715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45715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45715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45715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45715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45715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45715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45715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45715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45715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45715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45715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45715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45715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45715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45715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45715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45715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45715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45715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45715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45715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45715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45715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45715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45715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45715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45715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45715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45715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45715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45715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45715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45715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45715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45715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45715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45715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45715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45715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45715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45715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45715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45715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45715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45715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45715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45715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45715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45715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45715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45715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45715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45715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45715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45715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45715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45715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45715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45715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45715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45715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45715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45715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45715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45715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45715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45715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45715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45715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45715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45715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45715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45715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45715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45715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45715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45715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45715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45715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45715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45715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45715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45715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45715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45715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45715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45715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45715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45715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45715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45715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45715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45715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45715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45715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45715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45715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45715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45715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45715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45715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45715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45715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45715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45715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45715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45715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45715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45715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45715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45715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45715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45715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45715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45715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45715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45715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45715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45715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45715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45715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45715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45715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45715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45715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45715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45715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45715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45715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45715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45715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45715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45715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45715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45715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45715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45715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45715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45715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45715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45715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45715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45715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45715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45715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45715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45715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45715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45715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45715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45715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45715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45715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45715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45715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45715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45715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45715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45715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45715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45715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45715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45715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45715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45715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45715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45715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45715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45715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45715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45715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45715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45715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45715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45715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45715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45715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45715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45715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45715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45715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45715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45715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45715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45715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45715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45715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45715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45715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45715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45715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45715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45715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45715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45715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45715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45715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45715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45715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45715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45715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45715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45715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45715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45715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45715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45715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45715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45715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45715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45715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45715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45715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45715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45715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45715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45715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45715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45715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45715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45715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45715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45715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45715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45715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45715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45715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45715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45715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45715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45715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45715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45715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45715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45715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45715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45715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45715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45715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45715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13163-2024</t>
        </is>
      </c>
      <c r="B464" s="1" t="n">
        <v>45386</v>
      </c>
      <c r="C464" s="1" t="n">
        <v>45715</v>
      </c>
      <c r="D464" t="inlineStr">
        <is>
          <t>JÖNKÖPINGS LÄN</t>
        </is>
      </c>
      <c r="E464" t="inlineStr">
        <is>
          <t>ANEBY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13886-2024</t>
        </is>
      </c>
      <c r="B465" s="1" t="n">
        <v>45391</v>
      </c>
      <c r="C465" s="1" t="n">
        <v>45715</v>
      </c>
      <c r="D465" t="inlineStr">
        <is>
          <t>JÖNKÖPINGS LÄN</t>
        </is>
      </c>
      <c r="E465" t="inlineStr">
        <is>
          <t>ANEBY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14317-2024</t>
        </is>
      </c>
      <c r="B466" s="1" t="n">
        <v>45393</v>
      </c>
      <c r="C466" s="1" t="n">
        <v>45715</v>
      </c>
      <c r="D466" t="inlineStr">
        <is>
          <t>JÖNKÖPINGS LÄN</t>
        </is>
      </c>
      <c r="E466" t="inlineStr">
        <is>
          <t>ANEBY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14338-2024</t>
        </is>
      </c>
      <c r="B467" s="1" t="n">
        <v>45393</v>
      </c>
      <c r="C467" s="1" t="n">
        <v>45715</v>
      </c>
      <c r="D467" t="inlineStr">
        <is>
          <t>JÖNKÖPINGS LÄN</t>
        </is>
      </c>
      <c r="E467" t="inlineStr">
        <is>
          <t>ANEBY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14329-2024</t>
        </is>
      </c>
      <c r="B468" s="1" t="n">
        <v>45393</v>
      </c>
      <c r="C468" s="1" t="n">
        <v>45715</v>
      </c>
      <c r="D468" t="inlineStr">
        <is>
          <t>JÖNKÖPINGS LÄN</t>
        </is>
      </c>
      <c r="E468" t="inlineStr">
        <is>
          <t>ANEBY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14323-2024</t>
        </is>
      </c>
      <c r="B469" s="1" t="n">
        <v>45393</v>
      </c>
      <c r="C469" s="1" t="n">
        <v>45715</v>
      </c>
      <c r="D469" t="inlineStr">
        <is>
          <t>JÖNKÖPINGS LÄN</t>
        </is>
      </c>
      <c r="E469" t="inlineStr">
        <is>
          <t>ANEBY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14703-2024</t>
        </is>
      </c>
      <c r="B470" s="1" t="n">
        <v>45397</v>
      </c>
      <c r="C470" s="1" t="n">
        <v>45715</v>
      </c>
      <c r="D470" t="inlineStr">
        <is>
          <t>JÖNKÖPINGS LÄN</t>
        </is>
      </c>
      <c r="E470" t="inlineStr">
        <is>
          <t>ANEBY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14901-2024</t>
        </is>
      </c>
      <c r="B471" s="1" t="n">
        <v>45398</v>
      </c>
      <c r="C471" s="1" t="n">
        <v>45715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15835-2024</t>
        </is>
      </c>
      <c r="B472" s="1" t="n">
        <v>45404</v>
      </c>
      <c r="C472" s="1" t="n">
        <v>45715</v>
      </c>
      <c r="D472" t="inlineStr">
        <is>
          <t>JÖNKÖPINGS LÄN</t>
        </is>
      </c>
      <c r="E472" t="inlineStr">
        <is>
          <t>ANEBY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16679-2024</t>
        </is>
      </c>
      <c r="B473" s="1" t="n">
        <v>45408</v>
      </c>
      <c r="C473" s="1" t="n">
        <v>45715</v>
      </c>
      <c r="D473" t="inlineStr">
        <is>
          <t>JÖNKÖPINGS LÄN</t>
        </is>
      </c>
      <c r="E473" t="inlineStr">
        <is>
          <t>ANEBY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16722-2024</t>
        </is>
      </c>
      <c r="B474" s="1" t="n">
        <v>45409</v>
      </c>
      <c r="C474" s="1" t="n">
        <v>45715</v>
      </c>
      <c r="D474" t="inlineStr">
        <is>
          <t>JÖNKÖPINGS LÄN</t>
        </is>
      </c>
      <c r="E474" t="inlineStr">
        <is>
          <t>ANEBY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17082-2024</t>
        </is>
      </c>
      <c r="B475" s="1" t="n">
        <v>45412</v>
      </c>
      <c r="C475" s="1" t="n">
        <v>45715</v>
      </c>
      <c r="D475" t="inlineStr">
        <is>
          <t>JÖNKÖPINGS LÄN</t>
        </is>
      </c>
      <c r="E475" t="inlineStr">
        <is>
          <t>ANEBY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17954-2024</t>
        </is>
      </c>
      <c r="B476" s="1" t="n">
        <v>45419</v>
      </c>
      <c r="C476" s="1" t="n">
        <v>45715</v>
      </c>
      <c r="D476" t="inlineStr">
        <is>
          <t>JÖNKÖPINGS LÄN</t>
        </is>
      </c>
      <c r="E476" t="inlineStr">
        <is>
          <t>ANEBY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17973-2024</t>
        </is>
      </c>
      <c r="B477" s="1" t="n">
        <v>45419</v>
      </c>
      <c r="C477" s="1" t="n">
        <v>45715</v>
      </c>
      <c r="D477" t="inlineStr">
        <is>
          <t>JÖNKÖPINGS LÄN</t>
        </is>
      </c>
      <c r="E477" t="inlineStr">
        <is>
          <t>ANEBY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20922-2024</t>
        </is>
      </c>
      <c r="B478" s="1" t="n">
        <v>45439</v>
      </c>
      <c r="C478" s="1" t="n">
        <v>45715</v>
      </c>
      <c r="D478" t="inlineStr">
        <is>
          <t>JÖNKÖPINGS LÄN</t>
        </is>
      </c>
      <c r="E478" t="inlineStr">
        <is>
          <t>ANEBY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20923-2024</t>
        </is>
      </c>
      <c r="B479" s="1" t="n">
        <v>45439</v>
      </c>
      <c r="C479" s="1" t="n">
        <v>45715</v>
      </c>
      <c r="D479" t="inlineStr">
        <is>
          <t>JÖNKÖPINGS LÄN</t>
        </is>
      </c>
      <c r="E479" t="inlineStr">
        <is>
          <t>ANEBY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21026-2024</t>
        </is>
      </c>
      <c r="B480" s="1" t="n">
        <v>45439</v>
      </c>
      <c r="C480" s="1" t="n">
        <v>45715</v>
      </c>
      <c r="D480" t="inlineStr">
        <is>
          <t>JÖNKÖPINGS LÄN</t>
        </is>
      </c>
      <c r="E480" t="inlineStr">
        <is>
          <t>ANEBY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22762-2024</t>
        </is>
      </c>
      <c r="B481" s="1" t="n">
        <v>45448</v>
      </c>
      <c r="C481" s="1" t="n">
        <v>45715</v>
      </c>
      <c r="D481" t="inlineStr">
        <is>
          <t>JÖNKÖPINGS LÄN</t>
        </is>
      </c>
      <c r="E481" t="inlineStr">
        <is>
          <t>ANEBY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22764-2024</t>
        </is>
      </c>
      <c r="B482" s="1" t="n">
        <v>45448</v>
      </c>
      <c r="C482" s="1" t="n">
        <v>45715</v>
      </c>
      <c r="D482" t="inlineStr">
        <is>
          <t>JÖNKÖPINGS LÄN</t>
        </is>
      </c>
      <c r="E482" t="inlineStr">
        <is>
          <t>ANEBY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22802-2024</t>
        </is>
      </c>
      <c r="B483" s="1" t="n">
        <v>45448</v>
      </c>
      <c r="C483" s="1" t="n">
        <v>45715</v>
      </c>
      <c r="D483" t="inlineStr">
        <is>
          <t>JÖNKÖPINGS LÄN</t>
        </is>
      </c>
      <c r="E483" t="inlineStr">
        <is>
          <t>ANEBY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23607-2024</t>
        </is>
      </c>
      <c r="B484" s="1" t="n">
        <v>45454</v>
      </c>
      <c r="C484" s="1" t="n">
        <v>45715</v>
      </c>
      <c r="D484" t="inlineStr">
        <is>
          <t>JÖNKÖPINGS LÄN</t>
        </is>
      </c>
      <c r="E484" t="inlineStr">
        <is>
          <t>ANEBY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23612-2024</t>
        </is>
      </c>
      <c r="B485" s="1" t="n">
        <v>45454</v>
      </c>
      <c r="C485" s="1" t="n">
        <v>45715</v>
      </c>
      <c r="D485" t="inlineStr">
        <is>
          <t>JÖNKÖPINGS LÄN</t>
        </is>
      </c>
      <c r="E485" t="inlineStr">
        <is>
          <t>ANEBY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24784-2024</t>
        </is>
      </c>
      <c r="B486" s="1" t="n">
        <v>45460</v>
      </c>
      <c r="C486" s="1" t="n">
        <v>45715</v>
      </c>
      <c r="D486" t="inlineStr">
        <is>
          <t>JÖNKÖPINGS LÄN</t>
        </is>
      </c>
      <c r="E486" t="inlineStr">
        <is>
          <t>ANEBY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24683-2024</t>
        </is>
      </c>
      <c r="B487" s="1" t="n">
        <v>45460</v>
      </c>
      <c r="C487" s="1" t="n">
        <v>45715</v>
      </c>
      <c r="D487" t="inlineStr">
        <is>
          <t>JÖNKÖPINGS LÄN</t>
        </is>
      </c>
      <c r="E487" t="inlineStr">
        <is>
          <t>ANEBY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24668-2024</t>
        </is>
      </c>
      <c r="B488" s="1" t="n">
        <v>45460</v>
      </c>
      <c r="C488" s="1" t="n">
        <v>45715</v>
      </c>
      <c r="D488" t="inlineStr">
        <is>
          <t>JÖNKÖPINGS LÄN</t>
        </is>
      </c>
      <c r="E488" t="inlineStr">
        <is>
          <t>ANEBY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24783-2024</t>
        </is>
      </c>
      <c r="B489" s="1" t="n">
        <v>45460</v>
      </c>
      <c r="C489" s="1" t="n">
        <v>45715</v>
      </c>
      <c r="D489" t="inlineStr">
        <is>
          <t>JÖNKÖPINGS LÄN</t>
        </is>
      </c>
      <c r="E489" t="inlineStr">
        <is>
          <t>ANEBY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24654-2024</t>
        </is>
      </c>
      <c r="B490" s="1" t="n">
        <v>45460</v>
      </c>
      <c r="C490" s="1" t="n">
        <v>45715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24849-2024</t>
        </is>
      </c>
      <c r="B491" s="1" t="n">
        <v>45461</v>
      </c>
      <c r="C491" s="1" t="n">
        <v>45715</v>
      </c>
      <c r="D491" t="inlineStr">
        <is>
          <t>JÖNKÖPINGS LÄN</t>
        </is>
      </c>
      <c r="E491" t="inlineStr">
        <is>
          <t>ANEBY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24850-2024</t>
        </is>
      </c>
      <c r="B492" s="1" t="n">
        <v>45461</v>
      </c>
      <c r="C492" s="1" t="n">
        <v>45715</v>
      </c>
      <c r="D492" t="inlineStr">
        <is>
          <t>JÖNKÖPINGS LÄN</t>
        </is>
      </c>
      <c r="E492" t="inlineStr">
        <is>
          <t>ANEBY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24901-2024</t>
        </is>
      </c>
      <c r="B493" s="1" t="n">
        <v>45461</v>
      </c>
      <c r="C493" s="1" t="n">
        <v>45715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25438-2024</t>
        </is>
      </c>
      <c r="B494" s="1" t="n">
        <v>45463</v>
      </c>
      <c r="C494" s="1" t="n">
        <v>45715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25865-2024</t>
        </is>
      </c>
      <c r="B495" s="1" t="n">
        <v>45467</v>
      </c>
      <c r="C495" s="1" t="n">
        <v>45715</v>
      </c>
      <c r="D495" t="inlineStr">
        <is>
          <t>JÖNKÖPINGS LÄN</t>
        </is>
      </c>
      <c r="E495" t="inlineStr">
        <is>
          <t>ANEBY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25875-2024</t>
        </is>
      </c>
      <c r="B496" s="1" t="n">
        <v>45467</v>
      </c>
      <c r="C496" s="1" t="n">
        <v>45715</v>
      </c>
      <c r="D496" t="inlineStr">
        <is>
          <t>JÖNKÖPINGS LÄN</t>
        </is>
      </c>
      <c r="E496" t="inlineStr">
        <is>
          <t>ANEBY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25963-2024</t>
        </is>
      </c>
      <c r="B497" s="1" t="n">
        <v>45467</v>
      </c>
      <c r="C497" s="1" t="n">
        <v>45715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HYPERLINK("https://klasma.github.io/Logging_0604/knärot/A 25963-2024 karta knärot.png", "A 25963-2024")</f>
        <v/>
      </c>
      <c r="V497">
        <f>HYPERLINK("https://klasma.github.io/Logging_0604/klagomål/A 25963-2024 FSC-klagomål.docx", "A 25963-2024")</f>
        <v/>
      </c>
      <c r="W497">
        <f>HYPERLINK("https://klasma.github.io/Logging_0604/klagomålsmail/A 25963-2024 FSC-klagomål mail.docx", "A 25963-2024")</f>
        <v/>
      </c>
      <c r="X497">
        <f>HYPERLINK("https://klasma.github.io/Logging_0604/tillsyn/A 25963-2024 tillsynsbegäran.docx", "A 25963-2024")</f>
        <v/>
      </c>
      <c r="Y497">
        <f>HYPERLINK("https://klasma.github.io/Logging_0604/tillsynsmail/A 25963-2024 tillsynsbegäran mail.docx", "A 25963-2024")</f>
        <v/>
      </c>
    </row>
    <row r="498" ht="15" customHeight="1">
      <c r="A498" t="inlineStr">
        <is>
          <t>A 26241-2024</t>
        </is>
      </c>
      <c r="B498" s="1" t="n">
        <v>45468</v>
      </c>
      <c r="C498" s="1" t="n">
        <v>45715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26236-2024</t>
        </is>
      </c>
      <c r="B499" s="1" t="n">
        <v>45468</v>
      </c>
      <c r="C499" s="1" t="n">
        <v>45715</v>
      </c>
      <c r="D499" t="inlineStr">
        <is>
          <t>JÖNKÖPINGS LÄN</t>
        </is>
      </c>
      <c r="E499" t="inlineStr">
        <is>
          <t>ANEBY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26507-2024</t>
        </is>
      </c>
      <c r="B500" s="1" t="n">
        <v>45469</v>
      </c>
      <c r="C500" s="1" t="n">
        <v>45715</v>
      </c>
      <c r="D500" t="inlineStr">
        <is>
          <t>JÖNKÖPINGS LÄN</t>
        </is>
      </c>
      <c r="E500" t="inlineStr">
        <is>
          <t>ANEBY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27722-2024</t>
        </is>
      </c>
      <c r="B501" s="1" t="n">
        <v>45475</v>
      </c>
      <c r="C501" s="1" t="n">
        <v>45715</v>
      </c>
      <c r="D501" t="inlineStr">
        <is>
          <t>JÖNKÖPINGS LÄN</t>
        </is>
      </c>
      <c r="E501" t="inlineStr">
        <is>
          <t>ANEBY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27714-2024</t>
        </is>
      </c>
      <c r="B502" s="1" t="n">
        <v>45475</v>
      </c>
      <c r="C502" s="1" t="n">
        <v>45715</v>
      </c>
      <c r="D502" t="inlineStr">
        <is>
          <t>JÖNKÖPINGS LÄN</t>
        </is>
      </c>
      <c r="E502" t="inlineStr">
        <is>
          <t>ANEBY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31993-2024</t>
        </is>
      </c>
      <c r="B503" s="1" t="n">
        <v>45510</v>
      </c>
      <c r="C503" s="1" t="n">
        <v>45715</v>
      </c>
      <c r="D503" t="inlineStr">
        <is>
          <t>JÖNKÖPINGS LÄN</t>
        </is>
      </c>
      <c r="E503" t="inlineStr">
        <is>
          <t>ANEBY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35554-2024</t>
        </is>
      </c>
      <c r="B504" s="1" t="n">
        <v>45531</v>
      </c>
      <c r="C504" s="1" t="n">
        <v>45715</v>
      </c>
      <c r="D504" t="inlineStr">
        <is>
          <t>JÖNKÖPINGS LÄN</t>
        </is>
      </c>
      <c r="E504" t="inlineStr">
        <is>
          <t>ANEBY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35549-2024</t>
        </is>
      </c>
      <c r="B505" s="1" t="n">
        <v>45531</v>
      </c>
      <c r="C505" s="1" t="n">
        <v>45715</v>
      </c>
      <c r="D505" t="inlineStr">
        <is>
          <t>JÖNKÖPINGS LÄN</t>
        </is>
      </c>
      <c r="E505" t="inlineStr">
        <is>
          <t>ANEBY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35555-2024</t>
        </is>
      </c>
      <c r="B506" s="1" t="n">
        <v>45531</v>
      </c>
      <c r="C506" s="1" t="n">
        <v>45715</v>
      </c>
      <c r="D506" t="inlineStr">
        <is>
          <t>JÖNKÖPINGS LÄN</t>
        </is>
      </c>
      <c r="E506" t="inlineStr">
        <is>
          <t>ANEBY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35597-2024</t>
        </is>
      </c>
      <c r="B507" s="1" t="n">
        <v>45531</v>
      </c>
      <c r="C507" s="1" t="n">
        <v>45715</v>
      </c>
      <c r="D507" t="inlineStr">
        <is>
          <t>JÖNKÖPINGS LÄN</t>
        </is>
      </c>
      <c r="E507" t="inlineStr">
        <is>
          <t>ANEBY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36700-2024</t>
        </is>
      </c>
      <c r="B508" s="1" t="n">
        <v>45537</v>
      </c>
      <c r="C508" s="1" t="n">
        <v>45715</v>
      </c>
      <c r="D508" t="inlineStr">
        <is>
          <t>JÖNKÖPINGS LÄN</t>
        </is>
      </c>
      <c r="E508" t="inlineStr">
        <is>
          <t>ANEBY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36677-2024</t>
        </is>
      </c>
      <c r="B509" s="1" t="n">
        <v>45537</v>
      </c>
      <c r="C509" s="1" t="n">
        <v>45715</v>
      </c>
      <c r="D509" t="inlineStr">
        <is>
          <t>JÖNKÖPINGS LÄN</t>
        </is>
      </c>
      <c r="E509" t="inlineStr">
        <is>
          <t>ANEBY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36690-2024</t>
        </is>
      </c>
      <c r="B510" s="1" t="n">
        <v>45537</v>
      </c>
      <c r="C510" s="1" t="n">
        <v>45715</v>
      </c>
      <c r="D510" t="inlineStr">
        <is>
          <t>JÖNKÖPINGS LÄN</t>
        </is>
      </c>
      <c r="E510" t="inlineStr">
        <is>
          <t>ANEBY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36683-2024</t>
        </is>
      </c>
      <c r="B511" s="1" t="n">
        <v>45537</v>
      </c>
      <c r="C511" s="1" t="n">
        <v>45715</v>
      </c>
      <c r="D511" t="inlineStr">
        <is>
          <t>JÖNKÖPINGS LÄN</t>
        </is>
      </c>
      <c r="E511" t="inlineStr">
        <is>
          <t>ANEBY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36789-2024</t>
        </is>
      </c>
      <c r="B512" s="1" t="n">
        <v>45538</v>
      </c>
      <c r="C512" s="1" t="n">
        <v>45715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36756-2024</t>
        </is>
      </c>
      <c r="B513" s="1" t="n">
        <v>45538</v>
      </c>
      <c r="C513" s="1" t="n">
        <v>45715</v>
      </c>
      <c r="D513" t="inlineStr">
        <is>
          <t>JÖNKÖPINGS LÄN</t>
        </is>
      </c>
      <c r="E513" t="inlineStr">
        <is>
          <t>ANEBY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37135-2024</t>
        </is>
      </c>
      <c r="B514" s="1" t="n">
        <v>45539</v>
      </c>
      <c r="C514" s="1" t="n">
        <v>45715</v>
      </c>
      <c r="D514" t="inlineStr">
        <is>
          <t>JÖNKÖPINGS LÄN</t>
        </is>
      </c>
      <c r="E514" t="inlineStr">
        <is>
          <t>ANEBY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37155-2024</t>
        </is>
      </c>
      <c r="B515" s="1" t="n">
        <v>45539</v>
      </c>
      <c r="C515" s="1" t="n">
        <v>45715</v>
      </c>
      <c r="D515" t="inlineStr">
        <is>
          <t>JÖNKÖPINGS LÄN</t>
        </is>
      </c>
      <c r="E515" t="inlineStr">
        <is>
          <t>ANEBY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37223-2024</t>
        </is>
      </c>
      <c r="B516" s="1" t="n">
        <v>45539</v>
      </c>
      <c r="C516" s="1" t="n">
        <v>45715</v>
      </c>
      <c r="D516" t="inlineStr">
        <is>
          <t>JÖNKÖPINGS LÄN</t>
        </is>
      </c>
      <c r="E516" t="inlineStr">
        <is>
          <t>ANEBY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37214-2024</t>
        </is>
      </c>
      <c r="B517" s="1" t="n">
        <v>45539</v>
      </c>
      <c r="C517" s="1" t="n">
        <v>45715</v>
      </c>
      <c r="D517" t="inlineStr">
        <is>
          <t>JÖNKÖPINGS LÄN</t>
        </is>
      </c>
      <c r="E517" t="inlineStr">
        <is>
          <t>ANEBY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37751-2024</t>
        </is>
      </c>
      <c r="B518" s="1" t="n">
        <v>45541</v>
      </c>
      <c r="C518" s="1" t="n">
        <v>45715</v>
      </c>
      <c r="D518" t="inlineStr">
        <is>
          <t>JÖNKÖPINGS LÄN</t>
        </is>
      </c>
      <c r="E518" t="inlineStr">
        <is>
          <t>ANEBY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37989-2024</t>
        </is>
      </c>
      <c r="B519" s="1" t="n">
        <v>45544</v>
      </c>
      <c r="C519" s="1" t="n">
        <v>45715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37979-2024</t>
        </is>
      </c>
      <c r="B520" s="1" t="n">
        <v>45544</v>
      </c>
      <c r="C520" s="1" t="n">
        <v>45715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38031-2024</t>
        </is>
      </c>
      <c r="B521" s="1" t="n">
        <v>45544</v>
      </c>
      <c r="C521" s="1" t="n">
        <v>45715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45715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45715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45715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45715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45715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45715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45715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45715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45715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45715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45715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45715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45715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45715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45715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45715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45715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45715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45715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45715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45715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45715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45715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45715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45715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45715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45715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45715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45715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45715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45715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45715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45715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45715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45715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45715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45715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45715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45715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45715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45715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45715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45715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45715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45715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45715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45715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45715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45715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45715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45715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45715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45715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45715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45715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45715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45715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45715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45715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45715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45715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45715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45715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45715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45715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45715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45715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45715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45715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45715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45715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45715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45715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45715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45715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4988-2025</t>
        </is>
      </c>
      <c r="B597" s="1" t="n">
        <v>45691</v>
      </c>
      <c r="C597" s="1" t="n">
        <v>45715</v>
      </c>
      <c r="D597" t="inlineStr">
        <is>
          <t>JÖNKÖPINGS LÄN</t>
        </is>
      </c>
      <c r="E597" t="inlineStr">
        <is>
          <t>ANEBY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4986-2025</t>
        </is>
      </c>
      <c r="B598" s="1" t="n">
        <v>45691</v>
      </c>
      <c r="C598" s="1" t="n">
        <v>45715</v>
      </c>
      <c r="D598" t="inlineStr">
        <is>
          <t>JÖNKÖPINGS LÄN</t>
        </is>
      </c>
      <c r="E598" t="inlineStr">
        <is>
          <t>ANEBY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5400-2025</t>
        </is>
      </c>
      <c r="B599" s="1" t="n">
        <v>45692</v>
      </c>
      <c r="C599" s="1" t="n">
        <v>45715</v>
      </c>
      <c r="D599" t="inlineStr">
        <is>
          <t>JÖNKÖPINGS LÄN</t>
        </is>
      </c>
      <c r="E599" t="inlineStr">
        <is>
          <t>ANEBY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5401-2025</t>
        </is>
      </c>
      <c r="B600" s="1" t="n">
        <v>45692</v>
      </c>
      <c r="C600" s="1" t="n">
        <v>45715</v>
      </c>
      <c r="D600" t="inlineStr">
        <is>
          <t>JÖNKÖPINGS LÄN</t>
        </is>
      </c>
      <c r="E600" t="inlineStr">
        <is>
          <t>ANEBY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45715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45715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45715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7945-2025</t>
        </is>
      </c>
      <c r="B604" s="1" t="n">
        <v>45707</v>
      </c>
      <c r="C604" s="1" t="n">
        <v>45715</v>
      </c>
      <c r="D604" t="inlineStr">
        <is>
          <t>JÖNKÖPINGS LÄN</t>
        </is>
      </c>
      <c r="E604" t="inlineStr">
        <is>
          <t>ANEBY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7969-2025</t>
        </is>
      </c>
      <c r="B605" s="1" t="n">
        <v>45707</v>
      </c>
      <c r="C605" s="1" t="n">
        <v>45715</v>
      </c>
      <c r="D605" t="inlineStr">
        <is>
          <t>JÖNKÖPINGS LÄN</t>
        </is>
      </c>
      <c r="E605" t="inlineStr">
        <is>
          <t>ANEBY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8021-2025</t>
        </is>
      </c>
      <c r="B606" s="1" t="n">
        <v>45707</v>
      </c>
      <c r="C606" s="1" t="n">
        <v>45715</v>
      </c>
      <c r="D606" t="inlineStr">
        <is>
          <t>JÖNKÖPINGS LÄN</t>
        </is>
      </c>
      <c r="E606" t="inlineStr">
        <is>
          <t>ANEBY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8117-2025</t>
        </is>
      </c>
      <c r="B607" s="1" t="n">
        <v>45707</v>
      </c>
      <c r="C607" s="1" t="n">
        <v>45715</v>
      </c>
      <c r="D607" t="inlineStr">
        <is>
          <t>JÖNKÖPINGS LÄN</t>
        </is>
      </c>
      <c r="E607" t="inlineStr">
        <is>
          <t>ANEBY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45715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8335-2025</t>
        </is>
      </c>
      <c r="B609" s="1" t="n">
        <v>45708</v>
      </c>
      <c r="C609" s="1" t="n">
        <v>45715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8339-2025</t>
        </is>
      </c>
      <c r="B610" s="1" t="n">
        <v>45708</v>
      </c>
      <c r="C610" s="1" t="n">
        <v>45715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8457-2025</t>
        </is>
      </c>
      <c r="B611" s="1" t="n">
        <v>45709</v>
      </c>
      <c r="C611" s="1" t="n">
        <v>45715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2025-02-27T16:37:38Z</dcterms:created>
  <dcterms:modified xmlns:dcterms="http://purl.org/dc/terms/" xmlns:xsi="http://www.w3.org/2001/XMLSchema-instance" xsi:type="dcterms:W3CDTF">2025-02-27T16:37:38Z</dcterms:modified>
</cp:coreProperties>
</file>