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46295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46295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46295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46295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46295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46295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46295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46295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46295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46295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46295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46295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46295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46295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46295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46295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46295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46295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46295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46295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46295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46295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46295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46295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40897-2024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46295</v>
      </c>
      <c r="F30" t="inlineStr">
        <is>
          <t>JÖNKÖPINGS LÄN</t>
        </is>
      </c>
      <c r="G30" t="inlineStr">
        <is>
          <t>ANEBY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Fläckmaskros</t>
        </is>
      </c>
      <c r="W30">
        <f>HYPERLINK("https://klasma.github.io/Logging_0604/artfynd/A 40897-2024 artfynd.xlsx", "A 40897-2024")</f>
        <v/>
      </c>
      <c r="X30">
        <f>HYPERLINK("https://klasma.github.io/Logging_0604/kartor/A 40897-2024 karta.png", "A 40897-2024")</f>
        <v/>
      </c>
      <c r="Y30">
        <f>HYPERLINK("https://klasma.github.io/Logging_0604/kartor_geotiff/A 40897-2024 georefererad karta.tif", "A 40897-2024")</f>
        <v/>
      </c>
      <c r="AA30">
        <f>HYPERLINK("https://klasma.github.io/Logging_0604/klagomål/A 40897-2024 FSC-klagomål.docx", "A 40897-2024")</f>
        <v/>
      </c>
      <c r="AB30">
        <f>HYPERLINK("https://klasma.github.io/Logging_0604/klagomålsmail/A 40897-2024 FSC-klagomål mail.docx", "A 40897-2024")</f>
        <v/>
      </c>
      <c r="AC30">
        <f>HYPERLINK("https://klasma.github.io/Logging_0604/tillsyn/A 40897-2024 tillsynsbegäran.docx", "A 40897-2024")</f>
        <v/>
      </c>
      <c r="AD30">
        <f>HYPERLINK("https://klasma.github.io/Logging_0604/tillsynsmail/A 40897-2024 tillsynsbegäran mail.docx", "A 40897-2024")</f>
        <v/>
      </c>
    </row>
    <row r="31" ht="15" customHeight="1">
      <c r="A31" t="inlineStr">
        <is>
          <t>A 38728-2024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45547</v>
      </c>
      <c r="E31" s="1" t="n">
        <v>46295</v>
      </c>
      <c r="F31" t="inlineStr">
        <is>
          <t>JÖNKÖPINGS LÄN</t>
        </is>
      </c>
      <c r="G31" t="inlineStr">
        <is>
          <t>ANEBY</t>
        </is>
      </c>
      <c r="I31" t="n">
        <v>5.5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HYPERLINK("https://klasma.github.io/Logging_0604/artfynd/A 38728-2024 artfynd.xlsx", "A 38728-2024")</f>
        <v/>
      </c>
      <c r="X31">
        <f>HYPERLINK("https://klasma.github.io/Logging_0604/kartor/A 38728-2024 karta.png", "A 38728-2024")</f>
        <v/>
      </c>
      <c r="Y31">
        <f>HYPERLINK("https://klasma.github.io/Logging_0604/kartor_geotiff/A 38728-2024 georefererad karta.tif", "A 38728-2024")</f>
        <v/>
      </c>
      <c r="AA31">
        <f>HYPERLINK("https://klasma.github.io/Logging_0604/klagomål/A 38728-2024 FSC-klagomål.docx", "A 38728-2024")</f>
        <v/>
      </c>
      <c r="AB31">
        <f>HYPERLINK("https://klasma.github.io/Logging_0604/klagomålsmail/A 38728-2024 FSC-klagomål mail.docx", "A 38728-2024")</f>
        <v/>
      </c>
      <c r="AC31">
        <f>HYPERLINK("https://klasma.github.io/Logging_0604/tillsyn/A 38728-2024 tillsynsbegäran.docx", "A 38728-2024")</f>
        <v/>
      </c>
      <c r="AD31">
        <f>HYPERLINK("https://klasma.github.io/Logging_0604/tillsynsmail/A 38728-2024 tillsynsbegäran mail.docx", "A 38728-2024")</f>
        <v/>
      </c>
      <c r="AE31">
        <f>HYPERLINK("https://klasma.github.io/Logging_0604/fåglar/A 38728-2024 prioriterade fågelarter.docx", "A 38728-2024")</f>
        <v/>
      </c>
    </row>
    <row r="32" ht="15" customHeight="1">
      <c r="A32" t="inlineStr">
        <is>
          <t>A 13163-2024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45386</v>
      </c>
      <c r="E32" s="1" t="n">
        <v>46295</v>
      </c>
      <c r="F32" t="inlineStr">
        <is>
          <t>JÖNKÖPINGS LÄN</t>
        </is>
      </c>
      <c r="G32" t="inlineStr">
        <is>
          <t>ANEBY</t>
        </is>
      </c>
      <c r="I32" t="n">
        <v>6.9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HYPERLINK("https://klasma.github.io/Logging_0604/artfynd/A 13163-2024 artfynd.xlsx", "A 13163-2024")</f>
        <v/>
      </c>
      <c r="X32">
        <f>HYPERLINK("https://klasma.github.io/Logging_0604/kartor/A 13163-2024 karta.png", "A 13163-2024")</f>
        <v/>
      </c>
      <c r="Y32">
        <f>HYPERLINK("https://klasma.github.io/Logging_0604/kartor_geotiff/A 13163-2024 georefererad karta.tif", "A 13163-2024")</f>
        <v/>
      </c>
      <c r="AA32">
        <f>HYPERLINK("https://klasma.github.io/Logging_0604/klagomål/A 13163-2024 FSC-klagomål.docx", "A 13163-2024")</f>
        <v/>
      </c>
      <c r="AB32">
        <f>HYPERLINK("https://klasma.github.io/Logging_0604/klagomålsmail/A 13163-2024 FSC-klagomål mail.docx", "A 13163-2024")</f>
        <v/>
      </c>
      <c r="AC32">
        <f>HYPERLINK("https://klasma.github.io/Logging_0604/tillsyn/A 13163-2024 tillsynsbegäran.docx", "A 13163-2024")</f>
        <v/>
      </c>
      <c r="AD32">
        <f>HYPERLINK("https://klasma.github.io/Logging_0604/tillsynsmail/A 13163-2024 tillsynsbegäran mail.docx", "A 13163-2024")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46295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46295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46295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46295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46295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46295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46295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46295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46295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10010-2023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44985</v>
      </c>
      <c r="E42" s="1" t="n">
        <v>46295</v>
      </c>
      <c r="F42" t="inlineStr">
        <is>
          <t>JÖNKÖPINGS LÄN</t>
        </is>
      </c>
      <c r="G42" t="inlineStr">
        <is>
          <t>ANEBY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Ask</t>
        </is>
      </c>
      <c r="W42">
        <f>HYPERLINK("https://klasma.github.io/Logging_0604/artfynd/A 10010-2023 artfynd.xlsx", "A 10010-2023")</f>
        <v/>
      </c>
      <c r="X42">
        <f>HYPERLINK("https://klasma.github.io/Logging_0604/kartor/A 10010-2023 karta.png", "A 10010-2023")</f>
        <v/>
      </c>
      <c r="Y42">
        <f>HYPERLINK("https://klasma.github.io/Logging_0604/kartor_geotiff/A 10010-2023 georefererad karta.tif", "A 10010-2023")</f>
        <v/>
      </c>
      <c r="AA42">
        <f>HYPERLINK("https://klasma.github.io/Logging_0604/klagomål/A 10010-2023 FSC-klagomål.docx", "A 10010-2023")</f>
        <v/>
      </c>
      <c r="AB42">
        <f>HYPERLINK("https://klasma.github.io/Logging_0604/klagomålsmail/A 10010-2023 FSC-klagomål mail.docx", "A 10010-2023")</f>
        <v/>
      </c>
      <c r="AC42">
        <f>HYPERLINK("https://klasma.github.io/Logging_0604/tillsyn/A 10010-2023 tillsynsbegäran.docx", "A 10010-2023")</f>
        <v/>
      </c>
      <c r="AD42">
        <f>HYPERLINK("https://klasma.github.io/Logging_0604/tillsynsmail/A 10010-2023 tillsynsbegäran mail.docx", "A 10010-2023")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46295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8117-2025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46295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Enkelbeckasin</t>
        </is>
      </c>
      <c r="W44">
        <f>HYPERLINK("https://klasma.github.io/Logging_0604/artfynd/A 8117-2025 artfynd.xlsx", "A 8117-2025")</f>
        <v/>
      </c>
      <c r="X44">
        <f>HYPERLINK("https://klasma.github.io/Logging_0604/kartor/A 8117-2025 karta.png", "A 8117-2025")</f>
        <v/>
      </c>
      <c r="Y44">
        <f>HYPERLINK("https://klasma.github.io/Logging_0604/kartor_geotiff/A 8117-2025 georefererad karta.tif", "A 8117-2025")</f>
        <v/>
      </c>
      <c r="AA44">
        <f>HYPERLINK("https://klasma.github.io/Logging_0604/klagomål/A 8117-2025 FSC-klagomål.docx", "A 8117-2025")</f>
        <v/>
      </c>
      <c r="AB44">
        <f>HYPERLINK("https://klasma.github.io/Logging_0604/klagomålsmail/A 8117-2025 FSC-klagomål mail.docx", "A 8117-2025")</f>
        <v/>
      </c>
      <c r="AC44">
        <f>HYPERLINK("https://klasma.github.io/Logging_0604/tillsyn/A 8117-2025 tillsynsbegäran.docx", "A 8117-2025")</f>
        <v/>
      </c>
      <c r="AD44">
        <f>HYPERLINK("https://klasma.github.io/Logging_0604/tillsynsmail/A 8117-2025 tillsynsbegäran mail.docx", "A 8117-2025")</f>
        <v/>
      </c>
      <c r="AE44">
        <f>HYPERLINK("https://klasma.github.io/Logging_0604/fåglar/A 8117-2025 prioriterade fågelarter.docx", "A 8117-2025")</f>
        <v/>
      </c>
    </row>
    <row r="45" ht="15" customHeight="1">
      <c r="A45" t="inlineStr">
        <is>
          <t>A 25875-2024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46295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HYPERLINK("https://klasma.github.io/Logging_0604/artfynd/A 25875-2024 artfynd.xlsx", "A 25875-2024")</f>
        <v/>
      </c>
      <c r="X45">
        <f>HYPERLINK("https://klasma.github.io/Logging_0604/kartor/A 25875-2024 karta.png", "A 25875-2024")</f>
        <v/>
      </c>
      <c r="Y45">
        <f>HYPERLINK("https://klasma.github.io/Logging_0604/kartor_geotiff/A 25875-2024 georefererad karta.tif", "A 25875-2024")</f>
        <v/>
      </c>
      <c r="AA45">
        <f>HYPERLINK("https://klasma.github.io/Logging_0604/klagomål/A 25875-2024 FSC-klagomål.docx", "A 25875-2024")</f>
        <v/>
      </c>
      <c r="AB45">
        <f>HYPERLINK("https://klasma.github.io/Logging_0604/klagomålsmail/A 25875-2024 FSC-klagomål mail.docx", "A 25875-2024")</f>
        <v/>
      </c>
      <c r="AC45">
        <f>HYPERLINK("https://klasma.github.io/Logging_0604/tillsyn/A 25875-2024 tillsynsbegäran.docx", "A 25875-2024")</f>
        <v/>
      </c>
      <c r="AD45">
        <f>HYPERLINK("https://klasma.github.io/Logging_0604/tillsynsmail/A 25875-2024 tillsynsbegäran mail.docx", "A 25875-2024")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46295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46295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46295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46295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46295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46295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46295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46295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46295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46295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46295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46295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46295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46295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46295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46295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46295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46295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46295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46295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46295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46295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46295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46295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46295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46295</v>
      </c>
      <c r="F72" t="inlineStr">
        <is>
          <t>JÖNKÖPINGS LÄN</t>
        </is>
      </c>
      <c r="G72" t="inlineStr">
        <is>
          <t>ANEBY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46295</v>
      </c>
      <c r="F73" t="inlineStr">
        <is>
          <t>JÖNKÖPINGS LÄN</t>
        </is>
      </c>
      <c r="G73" t="inlineStr">
        <is>
          <t>ANEBY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46295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46295</v>
      </c>
      <c r="F75" t="inlineStr">
        <is>
          <t>JÖNKÖPINGS LÄN</t>
        </is>
      </c>
      <c r="G75" t="inlineStr">
        <is>
          <t>ANEBY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46295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49427-2023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45205</v>
      </c>
      <c r="E77" s="1" t="n">
        <v>46295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46295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46295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46295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45250</v>
      </c>
      <c r="E81" s="1" t="n">
        <v>46295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46295</v>
      </c>
      <c r="F82" t="inlineStr">
        <is>
          <t>JÖNKÖPINGS LÄN</t>
        </is>
      </c>
      <c r="G82" t="inlineStr">
        <is>
          <t>ANEBY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46295</v>
      </c>
      <c r="F83" t="inlineStr">
        <is>
          <t>JÖNKÖPINGS LÄN</t>
        </is>
      </c>
      <c r="G83" t="inlineStr">
        <is>
          <t>ANEBY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45461</v>
      </c>
      <c r="E84" s="1" t="n">
        <v>46295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49133-2022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44860</v>
      </c>
      <c r="E85" s="1" t="n">
        <v>46295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46295</v>
      </c>
      <c r="F86" t="inlineStr">
        <is>
          <t>JÖNKÖPINGS LÄN</t>
        </is>
      </c>
      <c r="G86" t="inlineStr">
        <is>
          <t>ANEBY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46295</v>
      </c>
      <c r="F87" t="inlineStr">
        <is>
          <t>JÖNKÖPINGS LÄN</t>
        </is>
      </c>
      <c r="G87" t="inlineStr">
        <is>
          <t>ANEBY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45398</v>
      </c>
      <c r="E88" s="1" t="n">
        <v>46295</v>
      </c>
      <c r="F88" t="inlineStr">
        <is>
          <t>JÖNKÖPINGS LÄN</t>
        </is>
      </c>
      <c r="G88" t="inlineStr">
        <is>
          <t>ANEBY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63901-2025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46020</v>
      </c>
      <c r="E89" s="1" t="n">
        <v>46295</v>
      </c>
      <c r="F89" t="inlineStr">
        <is>
          <t>JÖNKÖPINGS LÄN</t>
        </is>
      </c>
      <c r="G89" t="inlineStr">
        <is>
          <t>ANEBY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46295</v>
      </c>
      <c r="F90" t="inlineStr">
        <is>
          <t>JÖNKÖPINGS LÄN</t>
        </is>
      </c>
      <c r="G90" t="inlineStr">
        <is>
          <t>ANEBY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46295</v>
      </c>
      <c r="F91" t="inlineStr">
        <is>
          <t>JÖNKÖPINGS LÄN</t>
        </is>
      </c>
      <c r="G91" t="inlineStr">
        <is>
          <t>ANEBY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46295</v>
      </c>
      <c r="F92" t="inlineStr">
        <is>
          <t>JÖNKÖPINGS LÄN</t>
        </is>
      </c>
      <c r="G92" t="inlineStr">
        <is>
          <t>ANEBY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46021</v>
      </c>
      <c r="E93" s="1" t="n">
        <v>46295</v>
      </c>
      <c r="F93" t="inlineStr">
        <is>
          <t>JÖNKÖPINGS LÄN</t>
        </is>
      </c>
      <c r="G93" t="inlineStr">
        <is>
          <t>ANEBY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46021</v>
      </c>
      <c r="E94" s="1" t="n">
        <v>46295</v>
      </c>
      <c r="F94" t="inlineStr">
        <is>
          <t>JÖNKÖPINGS LÄN</t>
        </is>
      </c>
      <c r="G94" t="inlineStr">
        <is>
          <t>ANEBY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46295</v>
      </c>
      <c r="F95" t="inlineStr">
        <is>
          <t>JÖNKÖPINGS LÄN</t>
        </is>
      </c>
      <c r="G95" t="inlineStr">
        <is>
          <t>ANEBY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46295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46295</v>
      </c>
      <c r="F97" t="inlineStr">
        <is>
          <t>JÖNKÖPINGS LÄN</t>
        </is>
      </c>
      <c r="G97" t="inlineStr">
        <is>
          <t>ANEBY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33125-2025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45840</v>
      </c>
      <c r="E98" s="1" t="n">
        <v>46295</v>
      </c>
      <c r="F98" t="inlineStr">
        <is>
          <t>JÖNKÖPINGS LÄN</t>
        </is>
      </c>
      <c r="G98" t="inlineStr">
        <is>
          <t>ANEBY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52267-2024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46295</v>
      </c>
      <c r="F99" t="inlineStr">
        <is>
          <t>JÖNKÖPINGS LÄN</t>
        </is>
      </c>
      <c r="G99" t="inlineStr">
        <is>
          <t>ANEBY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46295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46295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46295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46295</v>
      </c>
      <c r="F103" t="inlineStr">
        <is>
          <t>JÖNKÖPINGS LÄN</t>
        </is>
      </c>
      <c r="G103" t="inlineStr">
        <is>
          <t>ANEBY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46295</v>
      </c>
      <c r="F104" t="inlineStr">
        <is>
          <t>JÖNKÖPINGS LÄN</t>
        </is>
      </c>
      <c r="G104" t="inlineStr">
        <is>
          <t>ANEBY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46295</v>
      </c>
      <c r="F105" t="inlineStr">
        <is>
          <t>JÖNKÖPINGS LÄN</t>
        </is>
      </c>
      <c r="G105" t="inlineStr">
        <is>
          <t>ANEBY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45275</v>
      </c>
      <c r="E106" s="1" t="n">
        <v>46295</v>
      </c>
      <c r="F106" t="inlineStr">
        <is>
          <t>JÖNKÖPINGS LÄN</t>
        </is>
      </c>
      <c r="G106" t="inlineStr">
        <is>
          <t>ANEBY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45467</v>
      </c>
      <c r="E107" s="1" t="n">
        <v>46295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  <c r="Z107">
        <f>HYPERLINK("https://klasma.github.io/Logging_0604/knärot/A 25963-2024 karta knärot.png", "A 25963-2024")</f>
        <v/>
      </c>
      <c r="AA107">
        <f>HYPERLINK("https://klasma.github.io/Logging_0604/klagomål/A 25963-2024 FSC-klagomål.docx", "A 25963-2024")</f>
        <v/>
      </c>
      <c r="AB107">
        <f>HYPERLINK("https://klasma.github.io/Logging_0604/klagomålsmail/A 25963-2024 FSC-klagomål mail.docx", "A 25963-2024")</f>
        <v/>
      </c>
      <c r="AC107">
        <f>HYPERLINK("https://klasma.github.io/Logging_0604/tillsyn/A 25963-2024 tillsynsbegäran.docx", "A 25963-2024")</f>
        <v/>
      </c>
      <c r="AD107">
        <f>HYPERLINK("https://klasma.github.io/Logging_0604/tillsynsmail/A 25963-2024 tillsynsbegäran mail.docx", "A 25963-2024")</f>
        <v/>
      </c>
    </row>
    <row r="108" ht="15" customHeight="1">
      <c r="A108" t="inlineStr">
        <is>
          <t>A 37343-2023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45156</v>
      </c>
      <c r="E108" s="1" t="n">
        <v>46295</v>
      </c>
      <c r="F108" t="inlineStr">
        <is>
          <t>JÖNKÖPINGS LÄN</t>
        </is>
      </c>
      <c r="G108" t="inlineStr">
        <is>
          <t>ANEBY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35555-2024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46295</v>
      </c>
      <c r="F109" t="inlineStr">
        <is>
          <t>JÖNKÖPINGS LÄN</t>
        </is>
      </c>
      <c r="G109" t="inlineStr">
        <is>
          <t>ANEBY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73166-2021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46295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46295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27714-2024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45475</v>
      </c>
      <c r="E112" s="1" t="n">
        <v>46295</v>
      </c>
      <c r="F112" t="inlineStr">
        <is>
          <t>JÖNKÖPINGS LÄN</t>
        </is>
      </c>
      <c r="G112" t="inlineStr">
        <is>
          <t>ANEBY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46295</v>
      </c>
      <c r="F113" t="inlineStr">
        <is>
          <t>JÖNKÖPINGS LÄN</t>
        </is>
      </c>
      <c r="G113" t="inlineStr">
        <is>
          <t>ANEBY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46295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46295</v>
      </c>
      <c r="F115" t="inlineStr">
        <is>
          <t>JÖNKÖPINGS LÄN</t>
        </is>
      </c>
      <c r="G115" t="inlineStr">
        <is>
          <t>ANEBY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46295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46295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46295</v>
      </c>
      <c r="F118" t="inlineStr">
        <is>
          <t>JÖNKÖPINGS LÄN</t>
        </is>
      </c>
      <c r="G118" t="inlineStr">
        <is>
          <t>ANEBY</t>
        </is>
      </c>
      <c r="H118" t="inlineStr">
        <is>
          <t>Övriga Aktiebolag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44999</v>
      </c>
      <c r="E119" s="1" t="n">
        <v>46295</v>
      </c>
      <c r="F119" t="inlineStr">
        <is>
          <t>JÖNKÖPINGS LÄN</t>
        </is>
      </c>
      <c r="G119" t="inlineStr">
        <is>
          <t>ANEBY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46295</v>
      </c>
      <c r="F120" t="inlineStr">
        <is>
          <t>JÖNKÖPINGS LÄN</t>
        </is>
      </c>
      <c r="G120" t="inlineStr">
        <is>
          <t>ANEBY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46295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46295</v>
      </c>
      <c r="F122" t="inlineStr">
        <is>
          <t>JÖNKÖPINGS LÄN</t>
        </is>
      </c>
      <c r="G122" t="inlineStr">
        <is>
          <t>ANEBY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46295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16.8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45555</v>
      </c>
      <c r="E124" s="1" t="n">
        <v>46295</v>
      </c>
      <c r="F124" t="inlineStr">
        <is>
          <t>JÖNKÖPINGS LÄN</t>
        </is>
      </c>
      <c r="G124" t="inlineStr">
        <is>
          <t>ANEBY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43528-2025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45911</v>
      </c>
      <c r="E125" s="1" t="n">
        <v>46295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45924</v>
      </c>
      <c r="E126" s="1" t="n">
        <v>46295</v>
      </c>
      <c r="F126" t="inlineStr">
        <is>
          <t>JÖNKÖPINGS LÄN</t>
        </is>
      </c>
      <c r="G126" t="inlineStr">
        <is>
          <t>ANEBY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46295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46295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45838</v>
      </c>
      <c r="E129" s="1" t="n">
        <v>46295</v>
      </c>
      <c r="F129" t="inlineStr">
        <is>
          <t>JÖNKÖPINGS LÄN</t>
        </is>
      </c>
      <c r="G129" t="inlineStr">
        <is>
          <t>ANEBY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46295</v>
      </c>
      <c r="F130" t="inlineStr">
        <is>
          <t>JÖNKÖPINGS LÄN</t>
        </is>
      </c>
      <c r="G130" t="inlineStr">
        <is>
          <t>ANEBY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46295</v>
      </c>
      <c r="F131" t="inlineStr">
        <is>
          <t>JÖNKÖPINGS LÄN</t>
        </is>
      </c>
      <c r="G131" t="inlineStr">
        <is>
          <t>ANEBY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46295</v>
      </c>
      <c r="F132" t="inlineStr">
        <is>
          <t>JÖNKÖPINGS LÄN</t>
        </is>
      </c>
      <c r="G132" t="inlineStr">
        <is>
          <t>ANEBY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46295</v>
      </c>
      <c r="F133" t="inlineStr">
        <is>
          <t>JÖNKÖPINGS LÄN</t>
        </is>
      </c>
      <c r="G133" t="inlineStr">
        <is>
          <t>ANEBY</t>
        </is>
      </c>
      <c r="H133" t="inlineStr">
        <is>
          <t>Övriga Aktiebolag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46295</v>
      </c>
      <c r="F134" t="inlineStr">
        <is>
          <t>JÖNKÖPINGS LÄN</t>
        </is>
      </c>
      <c r="G134" t="inlineStr">
        <is>
          <t>ANEBY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46295</v>
      </c>
      <c r="F135" t="inlineStr">
        <is>
          <t>JÖNKÖPINGS LÄN</t>
        </is>
      </c>
      <c r="G135" t="inlineStr">
        <is>
          <t>ANEBY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46295</v>
      </c>
      <c r="F136" t="inlineStr">
        <is>
          <t>JÖNKÖPINGS LÄN</t>
        </is>
      </c>
      <c r="G136" t="inlineStr">
        <is>
          <t>ANEBY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46295</v>
      </c>
      <c r="F137" t="inlineStr">
        <is>
          <t>JÖNKÖPINGS LÄN</t>
        </is>
      </c>
      <c r="G137" t="inlineStr">
        <is>
          <t>ANEBY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21026-2024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45439</v>
      </c>
      <c r="E138" s="1" t="n">
        <v>46295</v>
      </c>
      <c r="F138" t="inlineStr">
        <is>
          <t>JÖNKÖPINGS LÄN</t>
        </is>
      </c>
      <c r="G138" t="inlineStr">
        <is>
          <t>ANEBY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46295</v>
      </c>
      <c r="F139" t="inlineStr">
        <is>
          <t>JÖNKÖPINGS LÄN</t>
        </is>
      </c>
      <c r="G139" t="inlineStr">
        <is>
          <t>ANEBY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46295</v>
      </c>
      <c r="F140" t="inlineStr">
        <is>
          <t>JÖNKÖPINGS LÄN</t>
        </is>
      </c>
      <c r="G140" t="inlineStr">
        <is>
          <t>ANEBY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46295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45727</v>
      </c>
      <c r="E142" s="1" t="n">
        <v>46295</v>
      </c>
      <c r="F142" t="inlineStr">
        <is>
          <t>JÖNKÖPINGS LÄN</t>
        </is>
      </c>
      <c r="G142" t="inlineStr">
        <is>
          <t>ANEBY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6827-2026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46057</v>
      </c>
      <c r="E143" s="1" t="n">
        <v>46295</v>
      </c>
      <c r="F143" t="inlineStr">
        <is>
          <t>JÖNKÖPINGS LÄN</t>
        </is>
      </c>
      <c r="G143" t="inlineStr">
        <is>
          <t>ANEBY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46295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7263-2026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46058</v>
      </c>
      <c r="E145" s="1" t="n">
        <v>46295</v>
      </c>
      <c r="F145" t="inlineStr">
        <is>
          <t>JÖNKÖPINGS LÄN</t>
        </is>
      </c>
      <c r="G145" t="inlineStr">
        <is>
          <t>ANEBY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46057</v>
      </c>
      <c r="E146" s="1" t="n">
        <v>46295</v>
      </c>
      <c r="F146" t="inlineStr">
        <is>
          <t>JÖNKÖPINGS LÄN</t>
        </is>
      </c>
      <c r="G146" t="inlineStr">
        <is>
          <t>ANEBY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46295</v>
      </c>
      <c r="F147" t="inlineStr">
        <is>
          <t>JÖNKÖPINGS LÄN</t>
        </is>
      </c>
      <c r="G147" t="inlineStr">
        <is>
          <t>ANEBY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46295</v>
      </c>
      <c r="F148" t="inlineStr">
        <is>
          <t>JÖNKÖPINGS LÄN</t>
        </is>
      </c>
      <c r="G148" t="inlineStr">
        <is>
          <t>ANEBY</t>
        </is>
      </c>
      <c r="H148" t="inlineStr">
        <is>
          <t>Kyrkan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46295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46295</v>
      </c>
      <c r="F150" t="inlineStr">
        <is>
          <t>JÖNKÖPINGS LÄN</t>
        </is>
      </c>
      <c r="G150" t="inlineStr">
        <is>
          <t>ANEBY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46057</v>
      </c>
      <c r="E151" s="1" t="n">
        <v>46295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46295</v>
      </c>
      <c r="F152" t="inlineStr">
        <is>
          <t>JÖNKÖPINGS LÄN</t>
        </is>
      </c>
      <c r="G152" t="inlineStr">
        <is>
          <t>ANEBY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46295</v>
      </c>
      <c r="F153" t="inlineStr">
        <is>
          <t>JÖNKÖPINGS LÄN</t>
        </is>
      </c>
      <c r="G153" t="inlineStr">
        <is>
          <t>ANEBY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7514-2026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46059</v>
      </c>
      <c r="E154" s="1" t="n">
        <v>46295</v>
      </c>
      <c r="F154" t="inlineStr">
        <is>
          <t>JÖNKÖPINGS LÄN</t>
        </is>
      </c>
      <c r="G154" t="inlineStr">
        <is>
          <t>ANEBY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45020</v>
      </c>
      <c r="E155" s="1" t="n">
        <v>46295</v>
      </c>
      <c r="F155" t="inlineStr">
        <is>
          <t>JÖNKÖPINGS LÄN</t>
        </is>
      </c>
      <c r="G155" t="inlineStr">
        <is>
          <t>ANEBY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46295</v>
      </c>
      <c r="F156" t="inlineStr">
        <is>
          <t>JÖNKÖPINGS LÄN</t>
        </is>
      </c>
      <c r="G156" t="inlineStr">
        <is>
          <t>ANEBY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46295</v>
      </c>
      <c r="F157" t="inlineStr">
        <is>
          <t>JÖNKÖPINGS LÄN</t>
        </is>
      </c>
      <c r="G157" t="inlineStr">
        <is>
          <t>ANEBY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46295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46295</v>
      </c>
      <c r="F159" t="inlineStr">
        <is>
          <t>JÖNKÖPINGS LÄN</t>
        </is>
      </c>
      <c r="G159" t="inlineStr">
        <is>
          <t>ANEBY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46295</v>
      </c>
      <c r="F160" t="inlineStr">
        <is>
          <t>JÖNKÖPINGS LÄN</t>
        </is>
      </c>
      <c r="G160" t="inlineStr">
        <is>
          <t>ANEBY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46295</v>
      </c>
      <c r="F161" t="inlineStr">
        <is>
          <t>JÖNKÖPINGS LÄN</t>
        </is>
      </c>
      <c r="G161" t="inlineStr">
        <is>
          <t>ANEBY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46295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46295</v>
      </c>
      <c r="F163" t="inlineStr">
        <is>
          <t>JÖNKÖPINGS LÄN</t>
        </is>
      </c>
      <c r="G163" t="inlineStr">
        <is>
          <t>ANEBY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46295</v>
      </c>
      <c r="F164" t="inlineStr">
        <is>
          <t>JÖNKÖPINGS LÄN</t>
        </is>
      </c>
      <c r="G164" t="inlineStr">
        <is>
          <t>ANEBY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45468</v>
      </c>
      <c r="E165" s="1" t="n">
        <v>46295</v>
      </c>
      <c r="F165" t="inlineStr">
        <is>
          <t>JÖNKÖPINGS LÄN</t>
        </is>
      </c>
      <c r="G165" t="inlineStr">
        <is>
          <t>ANEBY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46295</v>
      </c>
      <c r="F166" t="inlineStr">
        <is>
          <t>JÖNKÖPINGS LÄN</t>
        </is>
      </c>
      <c r="G166" t="inlineStr">
        <is>
          <t>ANEBY</t>
        </is>
      </c>
      <c r="H166" t="inlineStr">
        <is>
          <t>Övriga Aktiebolag</t>
        </is>
      </c>
      <c r="I166" t="n">
        <v>19.6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46295</v>
      </c>
      <c r="F167" t="inlineStr">
        <is>
          <t>JÖNKÖPINGS LÄN</t>
        </is>
      </c>
      <c r="G167" t="inlineStr">
        <is>
          <t>ANEBY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46295</v>
      </c>
      <c r="F168" t="inlineStr">
        <is>
          <t>JÖNKÖPINGS LÄN</t>
        </is>
      </c>
      <c r="G168" t="inlineStr">
        <is>
          <t>ANEBY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46295</v>
      </c>
      <c r="F169" t="inlineStr">
        <is>
          <t>JÖNKÖPINGS LÄN</t>
        </is>
      </c>
      <c r="G169" t="inlineStr">
        <is>
          <t>ANEBY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46295</v>
      </c>
      <c r="F170" t="inlineStr">
        <is>
          <t>JÖNKÖPINGS LÄN</t>
        </is>
      </c>
      <c r="G170" t="inlineStr">
        <is>
          <t>ANEBY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46295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45982</v>
      </c>
      <c r="E172" s="1" t="n">
        <v>46295</v>
      </c>
      <c r="F172" t="inlineStr">
        <is>
          <t>JÖNKÖPINGS LÄN</t>
        </is>
      </c>
      <c r="G172" t="inlineStr">
        <is>
          <t>ANEBY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46295</v>
      </c>
      <c r="F173" t="inlineStr">
        <is>
          <t>JÖNKÖPINGS LÄN</t>
        </is>
      </c>
      <c r="G173" t="inlineStr">
        <is>
          <t>ANEBY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46295</v>
      </c>
      <c r="F174" t="inlineStr">
        <is>
          <t>JÖNKÖPINGS LÄN</t>
        </is>
      </c>
      <c r="G174" t="inlineStr">
        <is>
          <t>ANEBY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46295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46295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45379</v>
      </c>
      <c r="E177" s="1" t="n">
        <v>46295</v>
      </c>
      <c r="F177" t="inlineStr">
        <is>
          <t>JÖNKÖPINGS LÄN</t>
        </is>
      </c>
      <c r="G177" t="inlineStr">
        <is>
          <t>ANEBY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43613-2023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45184</v>
      </c>
      <c r="E178" s="1" t="n">
        <v>46295</v>
      </c>
      <c r="F178" t="inlineStr">
        <is>
          <t>JÖNKÖPINGS LÄN</t>
        </is>
      </c>
      <c r="G178" t="inlineStr">
        <is>
          <t>ANEBY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57174-2021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46295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45076</v>
      </c>
      <c r="E180" s="1" t="n">
        <v>46295</v>
      </c>
      <c r="F180" t="inlineStr">
        <is>
          <t>JÖNKÖPINGS LÄN</t>
        </is>
      </c>
      <c r="G180" t="inlineStr">
        <is>
          <t>ANEBY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46295</v>
      </c>
      <c r="F181" t="inlineStr">
        <is>
          <t>JÖNKÖPINGS LÄN</t>
        </is>
      </c>
      <c r="G181" t="inlineStr">
        <is>
          <t>ANEBY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45028</v>
      </c>
      <c r="E182" s="1" t="n">
        <v>46295</v>
      </c>
      <c r="F182" t="inlineStr">
        <is>
          <t>JÖNKÖPINGS LÄN</t>
        </is>
      </c>
      <c r="G182" t="inlineStr">
        <is>
          <t>ANEBY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45182</v>
      </c>
      <c r="E183" s="1" t="n">
        <v>46295</v>
      </c>
      <c r="F183" t="inlineStr">
        <is>
          <t>JÖNKÖPINGS LÄN</t>
        </is>
      </c>
      <c r="G183" t="inlineStr">
        <is>
          <t>ANEBY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46295</v>
      </c>
      <c r="F184" t="inlineStr">
        <is>
          <t>JÖNKÖPINGS LÄN</t>
        </is>
      </c>
      <c r="G184" t="inlineStr">
        <is>
          <t>ANEBY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45653</v>
      </c>
      <c r="E185" s="1" t="n">
        <v>46295</v>
      </c>
      <c r="F185" t="inlineStr">
        <is>
          <t>JÖNKÖPINGS LÄN</t>
        </is>
      </c>
      <c r="G185" t="inlineStr">
        <is>
          <t>ANEBY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46295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44477</v>
      </c>
      <c r="E187" s="1" t="n">
        <v>46295</v>
      </c>
      <c r="F187" t="inlineStr">
        <is>
          <t>JÖNKÖPINGS LÄN</t>
        </is>
      </c>
      <c r="G187" t="inlineStr">
        <is>
          <t>ANEBY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46295</v>
      </c>
      <c r="F188" t="inlineStr">
        <is>
          <t>JÖNKÖPINGS LÄN</t>
        </is>
      </c>
      <c r="G188" t="inlineStr">
        <is>
          <t>ANEBY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46295</v>
      </c>
      <c r="F189" t="inlineStr">
        <is>
          <t>JÖNKÖPINGS LÄN</t>
        </is>
      </c>
      <c r="G189" t="inlineStr">
        <is>
          <t>ANEBY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46295</v>
      </c>
      <c r="F190" t="inlineStr">
        <is>
          <t>JÖNKÖPINGS LÄN</t>
        </is>
      </c>
      <c r="G190" t="inlineStr">
        <is>
          <t>ANEBY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12576-2026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46295</v>
      </c>
      <c r="F191" t="inlineStr">
        <is>
          <t>JÖNKÖPINGS LÄN</t>
        </is>
      </c>
      <c r="G191" t="inlineStr">
        <is>
          <t>ANEBY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46295</v>
      </c>
      <c r="F192" t="inlineStr">
        <is>
          <t>JÖNKÖPINGS LÄN</t>
        </is>
      </c>
      <c r="G192" t="inlineStr">
        <is>
          <t>ANEBY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46295</v>
      </c>
      <c r="F193" t="inlineStr">
        <is>
          <t>JÖNKÖPINGS LÄN</t>
        </is>
      </c>
      <c r="G193" t="inlineStr">
        <is>
          <t>ANEBY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46093</v>
      </c>
      <c r="E194" s="1" t="n">
        <v>46295</v>
      </c>
      <c r="F194" t="inlineStr">
        <is>
          <t>JÖNKÖPINGS LÄN</t>
        </is>
      </c>
      <c r="G194" t="inlineStr">
        <is>
          <t>ANEBY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46098</v>
      </c>
      <c r="E195" s="1" t="n">
        <v>46295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20.7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46295</v>
      </c>
      <c r="F196" t="inlineStr">
        <is>
          <t>JÖNKÖPINGS LÄN</t>
        </is>
      </c>
      <c r="G196" t="inlineStr">
        <is>
          <t>ANEBY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45033</v>
      </c>
      <c r="E197" s="1" t="n">
        <v>46295</v>
      </c>
      <c r="F197" t="inlineStr">
        <is>
          <t>JÖNKÖPINGS LÄN</t>
        </is>
      </c>
      <c r="G197" t="inlineStr">
        <is>
          <t>ANEBY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46295</v>
      </c>
      <c r="F198" t="inlineStr">
        <is>
          <t>JÖNKÖPINGS LÄN</t>
        </is>
      </c>
      <c r="G198" t="inlineStr">
        <is>
          <t>ANEBY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46295</v>
      </c>
      <c r="F199" t="inlineStr">
        <is>
          <t>JÖNKÖPINGS LÄN</t>
        </is>
      </c>
      <c r="G199" t="inlineStr">
        <is>
          <t>ANEBY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46295</v>
      </c>
      <c r="F200" t="inlineStr">
        <is>
          <t>JÖNKÖPINGS LÄN</t>
        </is>
      </c>
      <c r="G200" t="inlineStr">
        <is>
          <t>ANEBY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46295</v>
      </c>
      <c r="F201" t="inlineStr">
        <is>
          <t>JÖNKÖPINGS LÄN</t>
        </is>
      </c>
      <c r="G201" t="inlineStr">
        <is>
          <t>ANEBY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46295</v>
      </c>
      <c r="F202" t="inlineStr">
        <is>
          <t>JÖNKÖPINGS LÄN</t>
        </is>
      </c>
      <c r="G202" t="inlineStr">
        <is>
          <t>ANEBY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46295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45769</v>
      </c>
      <c r="E204" s="1" t="n">
        <v>46295</v>
      </c>
      <c r="F204" t="inlineStr">
        <is>
          <t>JÖNKÖPINGS LÄN</t>
        </is>
      </c>
      <c r="G204" t="inlineStr">
        <is>
          <t>ANEBY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44606</v>
      </c>
      <c r="E205" s="1" t="n">
        <v>46295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45016</v>
      </c>
      <c r="E206" s="1" t="n">
        <v>46295</v>
      </c>
      <c r="F206" t="inlineStr">
        <is>
          <t>JÖNKÖPINGS LÄN</t>
        </is>
      </c>
      <c r="G206" t="inlineStr">
        <is>
          <t>ANEBY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23354-2023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45076</v>
      </c>
      <c r="E207" s="1" t="n">
        <v>46295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46295</v>
      </c>
      <c r="F208" t="inlineStr">
        <is>
          <t>JÖNKÖPINGS LÄN</t>
        </is>
      </c>
      <c r="G208" t="inlineStr">
        <is>
          <t>ANEBY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46295</v>
      </c>
      <c r="F209" t="inlineStr">
        <is>
          <t>JÖNKÖPINGS LÄN</t>
        </is>
      </c>
      <c r="G209" t="inlineStr">
        <is>
          <t>ANEBY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46295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46295</v>
      </c>
      <c r="F211" t="inlineStr">
        <is>
          <t>JÖNKÖPINGS LÄN</t>
        </is>
      </c>
      <c r="G211" t="inlineStr">
        <is>
          <t>ANEBY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46295</v>
      </c>
      <c r="F212" t="inlineStr">
        <is>
          <t>JÖNKÖPINGS LÄN</t>
        </is>
      </c>
      <c r="G212" t="inlineStr">
        <is>
          <t>ANEBY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46295</v>
      </c>
      <c r="F213" t="inlineStr">
        <is>
          <t>JÖNKÖPINGS LÄN</t>
        </is>
      </c>
      <c r="G213" t="inlineStr">
        <is>
          <t>ANEBY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25513-2023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45089</v>
      </c>
      <c r="E214" s="1" t="n">
        <v>46295</v>
      </c>
      <c r="F214" t="inlineStr">
        <is>
          <t>JÖNKÖPINGS LÄN</t>
        </is>
      </c>
      <c r="G214" t="inlineStr">
        <is>
          <t>ANEBY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46295</v>
      </c>
      <c r="F215" t="inlineStr">
        <is>
          <t>JÖNKÖPINGS LÄN</t>
        </is>
      </c>
      <c r="G215" t="inlineStr">
        <is>
          <t>ANEBY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46295</v>
      </c>
      <c r="F216" t="inlineStr">
        <is>
          <t>JÖNKÖPINGS LÄN</t>
        </is>
      </c>
      <c r="G216" t="inlineStr">
        <is>
          <t>ANEBY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46295</v>
      </c>
      <c r="F217" t="inlineStr">
        <is>
          <t>JÖNKÖPINGS LÄN</t>
        </is>
      </c>
      <c r="G217" t="inlineStr">
        <is>
          <t>ANEBY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46295</v>
      </c>
      <c r="F218" t="inlineStr">
        <is>
          <t>JÖNKÖPINGS LÄN</t>
        </is>
      </c>
      <c r="G218" t="inlineStr">
        <is>
          <t>ANEBY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44900</v>
      </c>
      <c r="E219" s="1" t="n">
        <v>46295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46295</v>
      </c>
      <c r="F220" t="inlineStr">
        <is>
          <t>JÖNKÖPINGS LÄN</t>
        </is>
      </c>
      <c r="G220" t="inlineStr">
        <is>
          <t>ANEBY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46295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46295</v>
      </c>
      <c r="F222" t="inlineStr">
        <is>
          <t>JÖNKÖPINGS LÄN</t>
        </is>
      </c>
      <c r="G222" t="inlineStr">
        <is>
          <t>ANEBY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46295</v>
      </c>
      <c r="F223" t="inlineStr">
        <is>
          <t>JÖNKÖPINGS LÄN</t>
        </is>
      </c>
      <c r="G223" t="inlineStr">
        <is>
          <t>ANEBY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46295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46295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46295</v>
      </c>
      <c r="F226" t="inlineStr">
        <is>
          <t>JÖNKÖPINGS LÄN</t>
        </is>
      </c>
      <c r="G226" t="inlineStr">
        <is>
          <t>ANEBY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46295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46295</v>
      </c>
      <c r="F228" t="inlineStr">
        <is>
          <t>JÖNKÖPINGS LÄN</t>
        </is>
      </c>
      <c r="G228" t="inlineStr">
        <is>
          <t>ANEBY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44959</v>
      </c>
      <c r="E229" s="1" t="n">
        <v>46295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45304</v>
      </c>
      <c r="E230" s="1" t="n">
        <v>46295</v>
      </c>
      <c r="F230" t="inlineStr">
        <is>
          <t>JÖNKÖPINGS LÄN</t>
        </is>
      </c>
      <c r="G230" t="inlineStr">
        <is>
          <t>ANEBY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46295</v>
      </c>
      <c r="F231" t="inlineStr">
        <is>
          <t>JÖNKÖPINGS LÄN</t>
        </is>
      </c>
      <c r="G231" t="inlineStr">
        <is>
          <t>ANEBY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38794-2023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45161</v>
      </c>
      <c r="E232" s="1" t="n">
        <v>46295</v>
      </c>
      <c r="F232" t="inlineStr">
        <is>
          <t>JÖNKÖPINGS LÄN</t>
        </is>
      </c>
      <c r="G232" t="inlineStr">
        <is>
          <t>ANEBY</t>
        </is>
      </c>
      <c r="H232" t="inlineStr">
        <is>
          <t>Övriga Aktiebolag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46295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45707</v>
      </c>
      <c r="E234" s="1" t="n">
        <v>46295</v>
      </c>
      <c r="F234" t="inlineStr">
        <is>
          <t>JÖNKÖPINGS LÄN</t>
        </is>
      </c>
      <c r="G234" t="inlineStr">
        <is>
          <t>ANEBY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45552</v>
      </c>
      <c r="E235" s="1" t="n">
        <v>46295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45593</v>
      </c>
      <c r="E236" s="1" t="n">
        <v>46295</v>
      </c>
      <c r="F236" t="inlineStr">
        <is>
          <t>JÖNKÖPINGS LÄN</t>
        </is>
      </c>
      <c r="G236" t="inlineStr">
        <is>
          <t>ANEBY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45126</v>
      </c>
      <c r="E237" s="1" t="n">
        <v>46295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50069-2024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45600</v>
      </c>
      <c r="E238" s="1" t="n">
        <v>46295</v>
      </c>
      <c r="F238" t="inlineStr">
        <is>
          <t>JÖNKÖPINGS LÄN</t>
        </is>
      </c>
      <c r="G238" t="inlineStr">
        <is>
          <t>ANEBY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45616</v>
      </c>
      <c r="E239" s="1" t="n">
        <v>46295</v>
      </c>
      <c r="F239" t="inlineStr">
        <is>
          <t>JÖNKÖPINGS LÄN</t>
        </is>
      </c>
      <c r="G239" t="inlineStr">
        <is>
          <t>ANEBY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46295</v>
      </c>
      <c r="F240" t="inlineStr">
        <is>
          <t>JÖNKÖPINGS LÄN</t>
        </is>
      </c>
      <c r="G240" t="inlineStr">
        <is>
          <t>ANEBY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44578</v>
      </c>
      <c r="E241" s="1" t="n">
        <v>46295</v>
      </c>
      <c r="F241" t="inlineStr">
        <is>
          <t>JÖNKÖPINGS LÄN</t>
        </is>
      </c>
      <c r="G241" t="inlineStr">
        <is>
          <t>ANEBY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46295</v>
      </c>
      <c r="F242" t="inlineStr">
        <is>
          <t>JÖNKÖPINGS LÄN</t>
        </is>
      </c>
      <c r="G242" t="inlineStr">
        <is>
          <t>ANEBY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46295</v>
      </c>
      <c r="F243" t="inlineStr">
        <is>
          <t>JÖNKÖPINGS LÄN</t>
        </is>
      </c>
      <c r="G243" t="inlineStr">
        <is>
          <t>ANEBY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45124</v>
      </c>
      <c r="E244" s="1" t="n">
        <v>46295</v>
      </c>
      <c r="F244" t="inlineStr">
        <is>
          <t>JÖNKÖPINGS LÄN</t>
        </is>
      </c>
      <c r="G244" t="inlineStr">
        <is>
          <t>ANEBY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46295</v>
      </c>
      <c r="F245" t="inlineStr">
        <is>
          <t>JÖNKÖPINGS LÄN</t>
        </is>
      </c>
      <c r="G245" t="inlineStr">
        <is>
          <t>ANEBY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45000</v>
      </c>
      <c r="E246" s="1" t="n">
        <v>46295</v>
      </c>
      <c r="F246" t="inlineStr">
        <is>
          <t>JÖNKÖPINGS LÄN</t>
        </is>
      </c>
      <c r="G246" t="inlineStr">
        <is>
          <t>ANEBY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46295</v>
      </c>
      <c r="F247" t="inlineStr">
        <is>
          <t>JÖNKÖPINGS LÄN</t>
        </is>
      </c>
      <c r="G247" t="inlineStr">
        <is>
          <t>ANEBY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46295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21356-2026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46147</v>
      </c>
      <c r="E249" s="1" t="n">
        <v>46295</v>
      </c>
      <c r="F249" t="inlineStr">
        <is>
          <t>JÖNKÖPINGS LÄN</t>
        </is>
      </c>
      <c r="G249" t="inlineStr">
        <is>
          <t>ANEBY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46295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46295</v>
      </c>
      <c r="F251" t="inlineStr">
        <is>
          <t>JÖNKÖPINGS LÄN</t>
        </is>
      </c>
      <c r="G251" t="inlineStr">
        <is>
          <t>ANEBY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46295</v>
      </c>
      <c r="F252" t="inlineStr">
        <is>
          <t>JÖNKÖPINGS LÄN</t>
        </is>
      </c>
      <c r="G252" t="inlineStr">
        <is>
          <t>ANEBY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46295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10155-2024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45364</v>
      </c>
      <c r="E254" s="1" t="n">
        <v>46295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45372</v>
      </c>
      <c r="E255" s="1" t="n">
        <v>46295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46295</v>
      </c>
      <c r="F256" t="inlineStr">
        <is>
          <t>JÖNKÖPINGS LÄN</t>
        </is>
      </c>
      <c r="G256" t="inlineStr">
        <is>
          <t>ANEBY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46295</v>
      </c>
      <c r="F257" t="inlineStr">
        <is>
          <t>JÖNKÖPINGS LÄN</t>
        </is>
      </c>
      <c r="G257" t="inlineStr">
        <is>
          <t>ANEBY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46295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46295</v>
      </c>
      <c r="F259" t="inlineStr">
        <is>
          <t>JÖNKÖPINGS LÄN</t>
        </is>
      </c>
      <c r="G259" t="inlineStr">
        <is>
          <t>ANEBY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46295</v>
      </c>
      <c r="F260" t="inlineStr">
        <is>
          <t>JÖNKÖPINGS LÄN</t>
        </is>
      </c>
      <c r="G260" t="inlineStr">
        <is>
          <t>ANEBY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45146</v>
      </c>
      <c r="E261" s="1" t="n">
        <v>46295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17380-2022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46295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46295</v>
      </c>
      <c r="F263" t="inlineStr">
        <is>
          <t>JÖNKÖPINGS LÄN</t>
        </is>
      </c>
      <c r="G263" t="inlineStr">
        <is>
          <t>ANEBY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46295</v>
      </c>
      <c r="F264" t="inlineStr">
        <is>
          <t>JÖNKÖPINGS LÄN</t>
        </is>
      </c>
      <c r="G264" t="inlineStr">
        <is>
          <t>ANEBY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46295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46295</v>
      </c>
      <c r="F266" t="inlineStr">
        <is>
          <t>JÖNKÖPINGS LÄN</t>
        </is>
      </c>
      <c r="G266" t="inlineStr">
        <is>
          <t>ANEBY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44700</v>
      </c>
      <c r="E267" s="1" t="n">
        <v>46295</v>
      </c>
      <c r="F267" t="inlineStr">
        <is>
          <t>JÖNKÖPINGS LÄN</t>
        </is>
      </c>
      <c r="G267" t="inlineStr">
        <is>
          <t>ANEBY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46295</v>
      </c>
      <c r="F268" t="inlineStr">
        <is>
          <t>JÖNKÖPINGS LÄN</t>
        </is>
      </c>
      <c r="G268" t="inlineStr">
        <is>
          <t>ANEBY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44671</v>
      </c>
      <c r="E269" s="1" t="n">
        <v>46295</v>
      </c>
      <c r="F269" t="inlineStr">
        <is>
          <t>JÖNKÖPINGS LÄN</t>
        </is>
      </c>
      <c r="G269" t="inlineStr">
        <is>
          <t>ANEBY</t>
        </is>
      </c>
      <c r="H269" t="inlineStr">
        <is>
          <t>Kyrkan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46295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46176</v>
      </c>
      <c r="E271" s="1" t="n">
        <v>46295</v>
      </c>
      <c r="F271" t="inlineStr">
        <is>
          <t>JÖNKÖPINGS LÄN</t>
        </is>
      </c>
      <c r="G271" t="inlineStr">
        <is>
          <t>ANEBY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44721</v>
      </c>
      <c r="E272" s="1" t="n">
        <v>46295</v>
      </c>
      <c r="F272" t="inlineStr">
        <is>
          <t>JÖNKÖPINGS LÄN</t>
        </is>
      </c>
      <c r="G272" t="inlineStr">
        <is>
          <t>ANEBY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46295</v>
      </c>
      <c r="F273" t="inlineStr">
        <is>
          <t>JÖNKÖPINGS LÄN</t>
        </is>
      </c>
      <c r="G273" t="inlineStr">
        <is>
          <t>ANEBY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46295</v>
      </c>
      <c r="F274" t="inlineStr">
        <is>
          <t>JÖNKÖPINGS LÄN</t>
        </is>
      </c>
      <c r="G274" t="inlineStr">
        <is>
          <t>ANEBY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46295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45775</v>
      </c>
      <c r="E276" s="1" t="n">
        <v>46295</v>
      </c>
      <c r="F276" t="inlineStr">
        <is>
          <t>JÖNKÖPINGS LÄN</t>
        </is>
      </c>
      <c r="G276" t="inlineStr">
        <is>
          <t>ANEBY</t>
        </is>
      </c>
      <c r="H276" t="inlineStr">
        <is>
          <t>Kyrkan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701-2024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45300</v>
      </c>
      <c r="E277" s="1" t="n">
        <v>46295</v>
      </c>
      <c r="F277" t="inlineStr">
        <is>
          <t>JÖNKÖPINGS LÄN</t>
        </is>
      </c>
      <c r="G277" t="inlineStr">
        <is>
          <t>ANEBY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19362-2025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45769</v>
      </c>
      <c r="E278" s="1" t="n">
        <v>46295</v>
      </c>
      <c r="F278" t="inlineStr">
        <is>
          <t>JÖNKÖPINGS LÄN</t>
        </is>
      </c>
      <c r="G278" t="inlineStr">
        <is>
          <t>ANEBY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45304</v>
      </c>
      <c r="E279" s="1" t="n">
        <v>46295</v>
      </c>
      <c r="F279" t="inlineStr">
        <is>
          <t>JÖNKÖPINGS LÄN</t>
        </is>
      </c>
      <c r="G279" t="inlineStr">
        <is>
          <t>ANEBY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46295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46295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46295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46295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46295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46295</v>
      </c>
      <c r="F285" t="inlineStr">
        <is>
          <t>JÖNKÖPINGS LÄN</t>
        </is>
      </c>
      <c r="G285" t="inlineStr">
        <is>
          <t>ANEBY</t>
        </is>
      </c>
      <c r="I285" t="n">
        <v>17.9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46295</v>
      </c>
      <c r="F286" t="inlineStr">
        <is>
          <t>JÖNKÖPINGS LÄN</t>
        </is>
      </c>
      <c r="G286" t="inlineStr">
        <is>
          <t>ANEBY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46295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44847</v>
      </c>
      <c r="E288" s="1" t="n">
        <v>46295</v>
      </c>
      <c r="F288" t="inlineStr">
        <is>
          <t>JÖNKÖPINGS LÄN</t>
        </is>
      </c>
      <c r="G288" t="inlineStr">
        <is>
          <t>ANEBY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46295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46295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46295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44482</v>
      </c>
      <c r="E292" s="1" t="n">
        <v>46295</v>
      </c>
      <c r="F292" t="inlineStr">
        <is>
          <t>JÖNKÖPINGS LÄN</t>
        </is>
      </c>
      <c r="G292" t="inlineStr">
        <is>
          <t>ANEBY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14323-2024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46295</v>
      </c>
      <c r="F293" t="inlineStr">
        <is>
          <t>JÖNKÖPINGS LÄN</t>
        </is>
      </c>
      <c r="G293" t="inlineStr">
        <is>
          <t>ANEBY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46295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46295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46295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67414-2021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46295</v>
      </c>
      <c r="F297" t="inlineStr">
        <is>
          <t>JÖNKÖPINGS LÄN</t>
        </is>
      </c>
      <c r="G297" t="inlineStr">
        <is>
          <t>ANEBY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44565</v>
      </c>
      <c r="E298" s="1" t="n">
        <v>46295</v>
      </c>
      <c r="F298" t="inlineStr">
        <is>
          <t>JÖNKÖPINGS LÄN</t>
        </is>
      </c>
      <c r="G298" t="inlineStr">
        <is>
          <t>ANEBY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45009</v>
      </c>
      <c r="E299" s="1" t="n">
        <v>46295</v>
      </c>
      <c r="F299" t="inlineStr">
        <is>
          <t>JÖNKÖPINGS LÄN</t>
        </is>
      </c>
      <c r="G299" t="inlineStr">
        <is>
          <t>ANEBY</t>
        </is>
      </c>
      <c r="I299" t="n">
        <v>13.8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44985</v>
      </c>
      <c r="E300" s="1" t="n">
        <v>46295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46295</v>
      </c>
      <c r="F301" t="inlineStr">
        <is>
          <t>JÖNKÖPINGS LÄN</t>
        </is>
      </c>
      <c r="G301" t="inlineStr">
        <is>
          <t>ANEBY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4836-2023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44957</v>
      </c>
      <c r="E302" s="1" t="n">
        <v>46295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35773-2023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45148</v>
      </c>
      <c r="E303" s="1" t="n">
        <v>46295</v>
      </c>
      <c r="F303" t="inlineStr">
        <is>
          <t>JÖNKÖPINGS LÄN</t>
        </is>
      </c>
      <c r="G303" t="inlineStr">
        <is>
          <t>ANEBY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46295</v>
      </c>
      <c r="F304" t="inlineStr">
        <is>
          <t>JÖNKÖPINGS LÄN</t>
        </is>
      </c>
      <c r="G304" t="inlineStr">
        <is>
          <t>ANEBY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46295</v>
      </c>
      <c r="F305" t="inlineStr">
        <is>
          <t>JÖNKÖPINGS LÄN</t>
        </is>
      </c>
      <c r="G305" t="inlineStr">
        <is>
          <t>ANEBY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46254</v>
      </c>
      <c r="E306" s="1" t="n">
        <v>46295</v>
      </c>
      <c r="F306" t="inlineStr">
        <is>
          <t>JÖNKÖPINGS LÄN</t>
        </is>
      </c>
      <c r="G306" t="inlineStr">
        <is>
          <t>ANEBY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45363</v>
      </c>
      <c r="E307" s="1" t="n">
        <v>46295</v>
      </c>
      <c r="F307" t="inlineStr">
        <is>
          <t>JÖNKÖPINGS LÄN</t>
        </is>
      </c>
      <c r="G307" t="inlineStr">
        <is>
          <t>ANEBY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46295</v>
      </c>
      <c r="F308" t="inlineStr">
        <is>
          <t>JÖNKÖPINGS LÄN</t>
        </is>
      </c>
      <c r="G308" t="inlineStr">
        <is>
          <t>ANEBY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34850-2026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46255</v>
      </c>
      <c r="E309" s="1" t="n">
        <v>46295</v>
      </c>
      <c r="F309" t="inlineStr">
        <is>
          <t>JÖNKÖPINGS LÄN</t>
        </is>
      </c>
      <c r="G309" t="inlineStr">
        <is>
          <t>ANEBY</t>
        </is>
      </c>
      <c r="H309" t="inlineStr">
        <is>
          <t>Övriga Aktiebolag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46214</v>
      </c>
      <c r="E310" s="1" t="n">
        <v>46295</v>
      </c>
      <c r="F310" t="inlineStr">
        <is>
          <t>JÖNKÖPINGS LÄN</t>
        </is>
      </c>
      <c r="G310" t="inlineStr">
        <is>
          <t>ANEBY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46214</v>
      </c>
      <c r="E311" s="1" t="n">
        <v>46295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46214</v>
      </c>
      <c r="E312" s="1" t="n">
        <v>46295</v>
      </c>
      <c r="F312" t="inlineStr">
        <is>
          <t>JÖNKÖPINGS LÄN</t>
        </is>
      </c>
      <c r="G312" t="inlineStr">
        <is>
          <t>ANEBY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46295</v>
      </c>
      <c r="F313" t="inlineStr">
        <is>
          <t>JÖNKÖPINGS LÄN</t>
        </is>
      </c>
      <c r="G313" t="inlineStr">
        <is>
          <t>ANEBY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703-2024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45300</v>
      </c>
      <c r="E314" s="1" t="n">
        <v>46295</v>
      </c>
      <c r="F314" t="inlineStr">
        <is>
          <t>JÖNKÖPINGS LÄN</t>
        </is>
      </c>
      <c r="G314" t="inlineStr">
        <is>
          <t>ANEBY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46295</v>
      </c>
      <c r="F315" t="inlineStr">
        <is>
          <t>JÖNKÖPINGS LÄN</t>
        </is>
      </c>
      <c r="G315" t="inlineStr">
        <is>
          <t>ANEBY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45372</v>
      </c>
      <c r="E316" s="1" t="n">
        <v>46295</v>
      </c>
      <c r="F316" t="inlineStr">
        <is>
          <t>JÖNKÖPINGS LÄN</t>
        </is>
      </c>
      <c r="G316" t="inlineStr">
        <is>
          <t>ANEBY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47325-2024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45586</v>
      </c>
      <c r="E317" s="1" t="n">
        <v>46295</v>
      </c>
      <c r="F317" t="inlineStr">
        <is>
          <t>JÖNKÖPINGS LÄN</t>
        </is>
      </c>
      <c r="G317" t="inlineStr">
        <is>
          <t>ANEBY</t>
        </is>
      </c>
      <c r="H317" t="inlineStr">
        <is>
          <t>Övriga Aktiebolag</t>
        </is>
      </c>
      <c r="I317" t="n">
        <v>18.6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9917-2022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44620</v>
      </c>
      <c r="E318" s="1" t="n">
        <v>46295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46295</v>
      </c>
      <c r="F319" t="inlineStr">
        <is>
          <t>JÖNKÖPINGS LÄN</t>
        </is>
      </c>
      <c r="G319" t="inlineStr">
        <is>
          <t>ANEBY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46265</v>
      </c>
      <c r="E320" s="1" t="n">
        <v>46295</v>
      </c>
      <c r="F320" t="inlineStr">
        <is>
          <t>JÖNKÖPINGS LÄN</t>
        </is>
      </c>
      <c r="G320" t="inlineStr">
        <is>
          <t>ANEBY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46224</v>
      </c>
      <c r="E321" s="1" t="n">
        <v>46295</v>
      </c>
      <c r="F321" t="inlineStr">
        <is>
          <t>JÖNKÖPINGS LÄN</t>
        </is>
      </c>
      <c r="G321" t="inlineStr">
        <is>
          <t>ANEBY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46295</v>
      </c>
      <c r="F322" t="inlineStr">
        <is>
          <t>JÖNKÖPINGS LÄN</t>
        </is>
      </c>
      <c r="G322" t="inlineStr">
        <is>
          <t>ANEBY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46295</v>
      </c>
      <c r="F323" t="inlineStr">
        <is>
          <t>JÖNKÖPINGS LÄN</t>
        </is>
      </c>
      <c r="G323" t="inlineStr">
        <is>
          <t>ANEBY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46295</v>
      </c>
      <c r="F324" t="inlineStr">
        <is>
          <t>JÖNKÖPINGS LÄN</t>
        </is>
      </c>
      <c r="G324" t="inlineStr">
        <is>
          <t>ANEBY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10456-2023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44981</v>
      </c>
      <c r="E325" s="1" t="n">
        <v>46295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45665</v>
      </c>
      <c r="E326" s="1" t="n">
        <v>46295</v>
      </c>
      <c r="F326" t="inlineStr">
        <is>
          <t>JÖNKÖPINGS LÄN</t>
        </is>
      </c>
      <c r="G326" t="inlineStr">
        <is>
          <t>ANEBY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46295</v>
      </c>
      <c r="F327" t="inlineStr">
        <is>
          <t>JÖNKÖPINGS LÄN</t>
        </is>
      </c>
      <c r="G327" t="inlineStr">
        <is>
          <t>ANEBY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46273</v>
      </c>
      <c r="E328" s="1" t="n">
        <v>46295</v>
      </c>
      <c r="F328" t="inlineStr">
        <is>
          <t>JÖNKÖPINGS LÄN</t>
        </is>
      </c>
      <c r="G328" t="inlineStr">
        <is>
          <t>ANEBY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46273</v>
      </c>
      <c r="E329" s="1" t="n">
        <v>46295</v>
      </c>
      <c r="F329" t="inlineStr">
        <is>
          <t>JÖNKÖPINGS LÄN</t>
        </is>
      </c>
      <c r="G329" t="inlineStr">
        <is>
          <t>ANEBY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45146</v>
      </c>
      <c r="E330" s="1" t="n">
        <v>46295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46295</v>
      </c>
      <c r="F331" t="inlineStr">
        <is>
          <t>JÖNKÖPINGS LÄN</t>
        </is>
      </c>
      <c r="G331" t="inlineStr">
        <is>
          <t>ANEBY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46295</v>
      </c>
      <c r="F332" t="inlineStr">
        <is>
          <t>JÖNKÖPINGS LÄN</t>
        </is>
      </c>
      <c r="G332" t="inlineStr">
        <is>
          <t>ANEBY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45033</v>
      </c>
      <c r="E333" s="1" t="n">
        <v>46295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46295</v>
      </c>
      <c r="F334" t="inlineStr">
        <is>
          <t>JÖNKÖPINGS LÄN</t>
        </is>
      </c>
      <c r="G334" t="inlineStr">
        <is>
          <t>ANEBY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46295</v>
      </c>
      <c r="F335" t="inlineStr">
        <is>
          <t>JÖNKÖPINGS LÄN</t>
        </is>
      </c>
      <c r="G335" t="inlineStr">
        <is>
          <t>ANEBY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45412</v>
      </c>
      <c r="E336" s="1" t="n">
        <v>46295</v>
      </c>
      <c r="F336" t="inlineStr">
        <is>
          <t>JÖNKÖPINGS LÄN</t>
        </is>
      </c>
      <c r="G336" t="inlineStr">
        <is>
          <t>ANEBY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38902-2026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46286</v>
      </c>
      <c r="E337" s="1" t="n">
        <v>46295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38905-2026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46286</v>
      </c>
      <c r="E338" s="1" t="n">
        <v>46295</v>
      </c>
      <c r="F338" t="inlineStr">
        <is>
          <t>JÖNKÖPINGS LÄN</t>
        </is>
      </c>
      <c r="G338" t="inlineStr">
        <is>
          <t>ANEBY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46295</v>
      </c>
      <c r="F339" t="inlineStr">
        <is>
          <t>JÖNKÖPINGS LÄN</t>
        </is>
      </c>
      <c r="G339" t="inlineStr">
        <is>
          <t>ANEBY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46295</v>
      </c>
      <c r="F340" t="inlineStr">
        <is>
          <t>JÖNKÖPINGS LÄN</t>
        </is>
      </c>
      <c r="G340" t="inlineStr">
        <is>
          <t>ANEBY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45408</v>
      </c>
      <c r="E341" s="1" t="n">
        <v>46295</v>
      </c>
      <c r="F341" t="inlineStr">
        <is>
          <t>JÖNKÖPINGS LÄN</t>
        </is>
      </c>
      <c r="G341" t="inlineStr">
        <is>
          <t>ANEBY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45077</v>
      </c>
      <c r="E342" s="1" t="n">
        <v>46295</v>
      </c>
      <c r="F342" t="inlineStr">
        <is>
          <t>JÖNKÖPINGS LÄN</t>
        </is>
      </c>
      <c r="G342" t="inlineStr">
        <is>
          <t>ANEBY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36690-2024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45537</v>
      </c>
      <c r="E343" s="1" t="n">
        <v>46295</v>
      </c>
      <c r="F343" t="inlineStr">
        <is>
          <t>JÖNKÖPINGS LÄN</t>
        </is>
      </c>
      <c r="G343" t="inlineStr">
        <is>
          <t>ANEBY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45357</v>
      </c>
      <c r="E344" s="1" t="n">
        <v>46295</v>
      </c>
      <c r="F344" t="inlineStr">
        <is>
          <t>JÖNKÖPINGS LÄN</t>
        </is>
      </c>
      <c r="G344" t="inlineStr">
        <is>
          <t>ANEBY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46295</v>
      </c>
      <c r="F345" t="inlineStr">
        <is>
          <t>JÖNKÖPINGS LÄN</t>
        </is>
      </c>
      <c r="G345" t="inlineStr">
        <is>
          <t>ANEBY</t>
        </is>
      </c>
      <c r="H345" t="inlineStr">
        <is>
          <t>Kyrkan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45001</v>
      </c>
      <c r="E346" s="1" t="n">
        <v>46295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46295</v>
      </c>
      <c r="F347" t="inlineStr">
        <is>
          <t>JÖNKÖPINGS LÄN</t>
        </is>
      </c>
      <c r="G347" t="inlineStr">
        <is>
          <t>ANEBY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46294</v>
      </c>
      <c r="E348" s="1" t="n">
        <v>46295</v>
      </c>
      <c r="F348" t="inlineStr">
        <is>
          <t>JÖNKÖPINGS LÄN</t>
        </is>
      </c>
      <c r="G348" t="inlineStr">
        <is>
          <t>ANEBY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805-2022</t>
        </is>
      </c>
      <c r="B349" t="inlineStr">
        <is>
          <t>samrådsanmälan</t>
        </is>
      </c>
      <c r="C349" t="inlineStr">
        <is>
          <t>Skogsbilväg</t>
        </is>
      </c>
      <c r="D349" s="1" t="n">
        <v>44603</v>
      </c>
      <c r="E349" s="1" t="n">
        <v>46295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46295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46295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46295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7492-2021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44475</v>
      </c>
      <c r="E353" s="1" t="n">
        <v>46295</v>
      </c>
      <c r="F353" t="inlineStr">
        <is>
          <t>JÖNKÖPINGS LÄN</t>
        </is>
      </c>
      <c r="G353" t="inlineStr">
        <is>
          <t>ANEBY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46295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46295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46295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46295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6634-2022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46295</v>
      </c>
      <c r="F358" t="inlineStr">
        <is>
          <t>JÖNKÖPINGS LÄN</t>
        </is>
      </c>
      <c r="G358" t="inlineStr">
        <is>
          <t>ANEBY</t>
        </is>
      </c>
      <c r="I358" t="n">
        <v>34.3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6623-2022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46295</v>
      </c>
      <c r="F359" t="inlineStr">
        <is>
          <t>JÖNKÖPINGS LÄN</t>
        </is>
      </c>
      <c r="G359" t="inlineStr">
        <is>
          <t>ANEBY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45702</v>
      </c>
      <c r="E360" s="1" t="n">
        <v>46295</v>
      </c>
      <c r="F360" t="inlineStr">
        <is>
          <t>JÖNKÖPINGS LÄN</t>
        </is>
      </c>
      <c r="G360" t="inlineStr">
        <is>
          <t>ANEBY</t>
        </is>
      </c>
      <c r="I360" t="n">
        <v>22.8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20-2026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46029</v>
      </c>
      <c r="E361" s="1" t="n">
        <v>46295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1152-2026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46135</v>
      </c>
      <c r="E362" s="1" t="n">
        <v>46295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2026-09-30T02:01:35Z</dcterms:created>
  <dcterms:modified xmlns:dcterms="http://purl.org/dc/terms/" xmlns:xsi="http://www.w3.org/2001/XMLSchema-instance" xsi:type="dcterms:W3CDTF">2026-09-30T02:01:35Z</dcterms:modified>
</cp:coreProperties>
</file>