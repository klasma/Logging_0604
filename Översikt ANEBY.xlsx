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46218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V2">
        <f>HYPERLINK("https://klasma.github.io/Logging_0604/artfynd/A 228-2024 artfynd.xlsx", "A 228-2024")</f>
        <v/>
      </c>
      <c r="W2">
        <f>HYPERLINK("https://klasma.github.io/Logging_0604/kartor/A 228-2024 karta.png", "A 228-2024")</f>
        <v/>
      </c>
      <c r="X2">
        <f>HYPERLINK("https://klasma.github.io/Logging_0604/knärot/A 228-2024 karta knärot.png", "A 228-2024")</f>
        <v/>
      </c>
      <c r="Y2">
        <f>HYPERLINK("https://klasma.github.io/Logging_0604/klagomål/A 228-2024 FSC-klagomål.docx", "A 228-2024")</f>
        <v/>
      </c>
      <c r="Z2">
        <f>HYPERLINK("https://klasma.github.io/Logging_0604/klagomålsmail/A 228-2024 FSC-klagomål mail.docx", "A 228-2024")</f>
        <v/>
      </c>
      <c r="AA2">
        <f>HYPERLINK("https://klasma.github.io/Logging_0604/tillsyn/A 228-2024 tillsynsbegäran.docx", "A 228-2024")</f>
        <v/>
      </c>
      <c r="AB2">
        <f>HYPERLINK("https://klasma.github.io/Logging_0604/tillsynsmail/A 228-2024 tillsynsbegäran mail.docx", "A 228-2024")</f>
        <v/>
      </c>
      <c r="AC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46218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V3">
        <f>HYPERLINK("https://klasma.github.io/Logging_0604/artfynd/S 1456-2026 artfynd.xlsx", "S 1456-2026")</f>
        <v/>
      </c>
      <c r="W3">
        <f>HYPERLINK("https://klasma.github.io/Logging_0604/kartor/S 1456-2026 karta.png", "S 1456-2026")</f>
        <v/>
      </c>
      <c r="X3">
        <f>HYPERLINK("https://klasma.github.io/Logging_0604/knärot/S 1456-2026 karta knärot.png", "S 1456-2026")</f>
        <v/>
      </c>
      <c r="Y3">
        <f>HYPERLINK("https://klasma.github.io/Logging_0604/klagomål/S 1456-2026 FSC-klagomål.docx", "S 1456-2026")</f>
        <v/>
      </c>
      <c r="Z3">
        <f>HYPERLINK("https://klasma.github.io/Logging_0604/klagomålsmail/S 1456-2026 FSC-klagomål mail.docx", "S 1456-2026")</f>
        <v/>
      </c>
      <c r="AA3">
        <f>HYPERLINK("https://klasma.github.io/Logging_0604/tillsyn/S 1456-2026 tillsynsbegäran.docx", "S 1456-2026")</f>
        <v/>
      </c>
      <c r="AB3">
        <f>HYPERLINK("https://klasma.github.io/Logging_0604/tillsynsmail/S 1456-2026 tillsynsbegäran mail.docx", "S 1456-2026")</f>
        <v/>
      </c>
      <c r="AC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46218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V4">
        <f>HYPERLINK("https://klasma.github.io/Logging_0604/artfynd/S 2227-2023 artfynd.xlsx", "S 2227-2023")</f>
        <v/>
      </c>
      <c r="W4">
        <f>HYPERLINK("https://klasma.github.io/Logging_0604/kartor/S 2227-2023 karta.png", "S 2227-2023")</f>
        <v/>
      </c>
      <c r="Y4">
        <f>HYPERLINK("https://klasma.github.io/Logging_0604/klagomål/S 2227-2023 FSC-klagomål.docx", "S 2227-2023")</f>
        <v/>
      </c>
      <c r="Z4">
        <f>HYPERLINK("https://klasma.github.io/Logging_0604/klagomålsmail/S 2227-2023 FSC-klagomål mail.docx", "S 2227-2023")</f>
        <v/>
      </c>
      <c r="AA4">
        <f>HYPERLINK("https://klasma.github.io/Logging_0604/tillsyn/S 2227-2023 tillsynsbegäran.docx", "S 2227-2023")</f>
        <v/>
      </c>
      <c r="AB4">
        <f>HYPERLINK("https://klasma.github.io/Logging_0604/tillsynsmail/S 2227-2023 tillsynsbegäran mail.docx", "S 2227-2023")</f>
        <v/>
      </c>
      <c r="AC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46218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s="2" t="inlineStr">
        <is>
          <t>Knärot
Gullpudra
Krusfrö
Slåtterfibbla
Svinrot
Grönpyrola
Korallrot
Svart trolldruva
Tibast
Tvåblad
Underviol
Ögonpyrola
Blåsippa
Grönvit nattviol
Gullviva</t>
        </is>
      </c>
      <c r="V5">
        <f>HYPERLINK("https://klasma.github.io/Logging_0604/artfynd/S 6622-2022 artfynd.xlsx", "S 6622-2022")</f>
        <v/>
      </c>
      <c r="W5">
        <f>HYPERLINK("https://klasma.github.io/Logging_0604/kartor/S 6622-2022 karta.png", "S 6622-2022")</f>
        <v/>
      </c>
      <c r="X5">
        <f>HYPERLINK("https://klasma.github.io/Logging_0604/knärot/S 6622-2022 karta knärot.png", "S 6622-2022")</f>
        <v/>
      </c>
      <c r="Y5">
        <f>HYPERLINK("https://klasma.github.io/Logging_0604/klagomål/S 6622-2022 FSC-klagomål.docx", "S 6622-2022")</f>
        <v/>
      </c>
      <c r="Z5">
        <f>HYPERLINK("https://klasma.github.io/Logging_0604/klagomålsmail/S 6622-2022 FSC-klagomål mail.docx", "S 6622-2022")</f>
        <v/>
      </c>
      <c r="AA5">
        <f>HYPERLINK("https://klasma.github.io/Logging_0604/tillsyn/S 6622-2022 tillsynsbegäran.docx", "S 6622-2022")</f>
        <v/>
      </c>
      <c r="AB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46218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s="2" t="inlineStr">
        <is>
          <t>Kricka
Nordfladdermus
Sädesärla
Fiskgjuse
Havsörn
Sångsvan
Vattenfladdermus
Kopparödla
Skogsödla
Grönvit nattviol</t>
        </is>
      </c>
      <c r="V6">
        <f>HYPERLINK("https://klasma.github.io/Logging_0604/artfynd/A 49079-2023 artfynd.xlsx", "A 49079-2023")</f>
        <v/>
      </c>
      <c r="W6">
        <f>HYPERLINK("https://klasma.github.io/Logging_0604/kartor/A 49079-2023 karta.png", "A 49079-2023")</f>
        <v/>
      </c>
      <c r="Y6">
        <f>HYPERLINK("https://klasma.github.io/Logging_0604/klagomål/A 49079-2023 FSC-klagomål.docx", "A 49079-2023")</f>
        <v/>
      </c>
      <c r="Z6">
        <f>HYPERLINK("https://klasma.github.io/Logging_0604/klagomålsmail/A 49079-2023 FSC-klagomål mail.docx", "A 49079-2023")</f>
        <v/>
      </c>
      <c r="AA6">
        <f>HYPERLINK("https://klasma.github.io/Logging_0604/tillsyn/A 49079-2023 tillsynsbegäran.docx", "A 49079-2023")</f>
        <v/>
      </c>
      <c r="AB6">
        <f>HYPERLINK("https://klasma.github.io/Logging_0604/tillsynsmail/A 49079-2023 tillsynsbegäran mail.docx", "A 49079-2023")</f>
        <v/>
      </c>
      <c r="AC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46218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s="2" t="inlineStr">
        <is>
          <t>Pärluggla
Knärot
Silverblåvinge
Grå blåbärsfältmätare
Skogshare
Vitfläckig guldvinge
Grönpyrola</t>
        </is>
      </c>
      <c r="V7">
        <f>HYPERLINK("https://klasma.github.io/Logging_0604/artfynd/A 410-2022 artfynd.xlsx", "A 410-2022")</f>
        <v/>
      </c>
      <c r="W7">
        <f>HYPERLINK("https://klasma.github.io/Logging_0604/kartor/A 410-2022 karta.png", "A 410-2022")</f>
        <v/>
      </c>
      <c r="X7">
        <f>HYPERLINK("https://klasma.github.io/Logging_0604/knärot/A 410-2022 karta knärot.png", "A 410-2022")</f>
        <v/>
      </c>
      <c r="Y7">
        <f>HYPERLINK("https://klasma.github.io/Logging_0604/klagomål/A 410-2022 FSC-klagomål.docx", "A 410-2022")</f>
        <v/>
      </c>
      <c r="Z7">
        <f>HYPERLINK("https://klasma.github.io/Logging_0604/klagomålsmail/A 410-2022 FSC-klagomål mail.docx", "A 410-2022")</f>
        <v/>
      </c>
      <c r="AA7">
        <f>HYPERLINK("https://klasma.github.io/Logging_0604/tillsyn/A 410-2022 tillsynsbegäran.docx", "A 410-2022")</f>
        <v/>
      </c>
      <c r="AB7">
        <f>HYPERLINK("https://klasma.github.io/Logging_0604/tillsynsmail/A 410-2022 tillsynsbegäran mail.docx", "A 410-2022")</f>
        <v/>
      </c>
      <c r="AC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46218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s="2" t="inlineStr">
        <is>
          <t>Ljungögontröst
Barbastell
Brunlångöra
Nordfladdermus
Järpe
Dvärgpipistrell
Orre</t>
        </is>
      </c>
      <c r="V8">
        <f>HYPERLINK("https://klasma.github.io/Logging_0604/artfynd/A 47296-2023 artfynd.xlsx", "A 47296-2023")</f>
        <v/>
      </c>
      <c r="W8">
        <f>HYPERLINK("https://klasma.github.io/Logging_0604/kartor/A 47296-2023 karta.png", "A 47296-2023")</f>
        <v/>
      </c>
      <c r="Y8">
        <f>HYPERLINK("https://klasma.github.io/Logging_0604/klagomål/A 47296-2023 FSC-klagomål.docx", "A 47296-2023")</f>
        <v/>
      </c>
      <c r="Z8">
        <f>HYPERLINK("https://klasma.github.io/Logging_0604/klagomålsmail/A 47296-2023 FSC-klagomål mail.docx", "A 47296-2023")</f>
        <v/>
      </c>
      <c r="AA8">
        <f>HYPERLINK("https://klasma.github.io/Logging_0604/tillsyn/A 47296-2023 tillsynsbegäran.docx", "A 47296-2023")</f>
        <v/>
      </c>
      <c r="AB8">
        <f>HYPERLINK("https://klasma.github.io/Logging_0604/tillsynsmail/A 47296-2023 tillsynsbegäran mail.docx", "A 47296-2023")</f>
        <v/>
      </c>
      <c r="AC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46218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s="2" t="inlineStr">
        <is>
          <t>Entita
Talltita
Grönsiska
Sångsvan
Trana
Ärtsångare</t>
        </is>
      </c>
      <c r="V9">
        <f>HYPERLINK("https://klasma.github.io/Logging_0604/artfynd/S 1135-2024 artfynd.xlsx", "S 1135-2024")</f>
        <v/>
      </c>
      <c r="W9">
        <f>HYPERLINK("https://klasma.github.io/Logging_0604/kartor/S 1135-2024 karta.png", "S 1135-2024")</f>
        <v/>
      </c>
      <c r="Y9">
        <f>HYPERLINK("https://klasma.github.io/Logging_0604/klagomål/S 1135-2024 FSC-klagomål.docx", "S 1135-2024")</f>
        <v/>
      </c>
      <c r="Z9">
        <f>HYPERLINK("https://klasma.github.io/Logging_0604/klagomålsmail/S 1135-2024 FSC-klagomål mail.docx", "S 1135-2024")</f>
        <v/>
      </c>
      <c r="AA9">
        <f>HYPERLINK("https://klasma.github.io/Logging_0604/tillsyn/S 1135-2024 tillsynsbegäran.docx", "S 1135-2024")</f>
        <v/>
      </c>
      <c r="AB9">
        <f>HYPERLINK("https://klasma.github.io/Logging_0604/tillsynsmail/S 1135-2024 tillsynsbegäran mail.docx", "S 1135-2024")</f>
        <v/>
      </c>
      <c r="AC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46218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Silverblåvinge
Talltita
Vanlig groda
Dubbelnycklar
Fläcknycklar
Revlummer</t>
        </is>
      </c>
      <c r="V10">
        <f>HYPERLINK("https://klasma.github.io/Logging_0604/artfynd/S 6940-2022 artfynd.xlsx", "S 6940-2022")</f>
        <v/>
      </c>
      <c r="W10">
        <f>HYPERLINK("https://klasma.github.io/Logging_0604/kartor/S 6940-2022 karta.png", "S 6940-2022")</f>
        <v/>
      </c>
      <c r="Y10">
        <f>HYPERLINK("https://klasma.github.io/Logging_0604/klagomål/S 6940-2022 FSC-klagomål.docx", "S 6940-2022")</f>
        <v/>
      </c>
      <c r="Z10">
        <f>HYPERLINK("https://klasma.github.io/Logging_0604/klagomålsmail/S 6940-2022 FSC-klagomål mail.docx", "S 6940-2022")</f>
        <v/>
      </c>
      <c r="AA10">
        <f>HYPERLINK("https://klasma.github.io/Logging_0604/tillsyn/S 6940-2022 tillsynsbegäran.docx", "S 6940-2022")</f>
        <v/>
      </c>
      <c r="AB10">
        <f>HYPERLINK("https://klasma.github.io/Logging_0604/tillsynsmail/S 6940-2022 tillsynsbegäran mail.docx", "S 6940-2022")</f>
        <v/>
      </c>
      <c r="AC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46218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Kattfotslav
Björksplintborre
Bronshjon
Rostfläck
Större brunfladdermus</t>
        </is>
      </c>
      <c r="V11">
        <f>HYPERLINK("https://klasma.github.io/Logging_0604/artfynd/A 23598-2025 artfynd.xlsx", "A 23598-2025")</f>
        <v/>
      </c>
      <c r="W11">
        <f>HYPERLINK("https://klasma.github.io/Logging_0604/kartor/A 23598-2025 karta.png", "A 23598-2025")</f>
        <v/>
      </c>
      <c r="Y11">
        <f>HYPERLINK("https://klasma.github.io/Logging_0604/klagomål/A 23598-2025 FSC-klagomål.docx", "A 23598-2025")</f>
        <v/>
      </c>
      <c r="Z11">
        <f>HYPERLINK("https://klasma.github.io/Logging_0604/klagomålsmail/A 23598-2025 FSC-klagomål mail.docx", "A 23598-2025")</f>
        <v/>
      </c>
      <c r="AA11">
        <f>HYPERLINK("https://klasma.github.io/Logging_0604/tillsyn/A 23598-2025 tillsynsbegäran.docx", "A 23598-2025")</f>
        <v/>
      </c>
      <c r="AB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46218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s="2" t="inlineStr">
        <is>
          <t>Barbastell
Brunlångöra
Nordfladdermus
Dvärgpipistrell
Större brunfladdermus</t>
        </is>
      </c>
      <c r="V12">
        <f>HYPERLINK("https://klasma.github.io/Logging_0604/artfynd/S 574-2025 artfynd.xlsx", "S 574-2025")</f>
        <v/>
      </c>
      <c r="W12">
        <f>HYPERLINK("https://klasma.github.io/Logging_0604/kartor/S 574-2025 karta.png", "S 574-2025")</f>
        <v/>
      </c>
      <c r="X12">
        <f>HYPERLINK("https://klasma.github.io/Logging_0604/knärot/S 574-2025 karta knärot.png", "S 574-2025")</f>
        <v/>
      </c>
      <c r="Y12">
        <f>HYPERLINK("https://klasma.github.io/Logging_0604/klagomål/S 574-2025 FSC-klagomål.docx", "S 574-2025")</f>
        <v/>
      </c>
      <c r="Z12">
        <f>HYPERLINK("https://klasma.github.io/Logging_0604/klagomålsmail/S 574-2025 FSC-klagomål mail.docx", "S 574-2025")</f>
        <v/>
      </c>
      <c r="AA12">
        <f>HYPERLINK("https://klasma.github.io/Logging_0604/tillsyn/S 574-2025 tillsynsbegäran.docx", "S 574-2025")</f>
        <v/>
      </c>
      <c r="AB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46218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Brunpudrad nållav
Kricka
Svart skogssnigel
Gulnål
Rostfläck</t>
        </is>
      </c>
      <c r="V13">
        <f>HYPERLINK("https://klasma.github.io/Logging_0604/artfynd/S 3067-2025 artfynd.xlsx", "S 3067-2025")</f>
        <v/>
      </c>
      <c r="W13">
        <f>HYPERLINK("https://klasma.github.io/Logging_0604/kartor/S 3067-2025 karta.png", "S 3067-2025")</f>
        <v/>
      </c>
      <c r="Y13">
        <f>HYPERLINK("https://klasma.github.io/Logging_0604/klagomål/S 3067-2025 FSC-klagomål.docx", "S 3067-2025")</f>
        <v/>
      </c>
      <c r="Z13">
        <f>HYPERLINK("https://klasma.github.io/Logging_0604/klagomålsmail/S 3067-2025 FSC-klagomål mail.docx", "S 3067-2025")</f>
        <v/>
      </c>
      <c r="AA13">
        <f>HYPERLINK("https://klasma.github.io/Logging_0604/tillsyn/S 3067-2025 tillsynsbegäran.docx", "S 3067-2025")</f>
        <v/>
      </c>
      <c r="AB13">
        <f>HYPERLINK("https://klasma.github.io/Logging_0604/tillsynsmail/S 3067-2025 tillsynsbegäran mail.docx", "S 3067-2025")</f>
        <v/>
      </c>
      <c r="AC13">
        <f>HYPERLINK("https://klasma.github.io/Logging_0604/fåglar/S 3067-2025 prioriterade fågelarter.docx", "S 3067-2025")</f>
        <v/>
      </c>
    </row>
    <row r="14" ht="15" customHeight="1">
      <c r="A14" t="inlineStr">
        <is>
          <t>A 43750-2025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45912</v>
      </c>
      <c r="E14" s="1" t="n">
        <v>46218</v>
      </c>
      <c r="F14" t="inlineStr">
        <is>
          <t>JÖNKÖPINGS LÄN</t>
        </is>
      </c>
      <c r="G14" t="inlineStr">
        <is>
          <t>ANEBY</t>
        </is>
      </c>
      <c r="I14" t="n">
        <v>1.1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s="2" t="inlineStr">
        <is>
          <t>Brunlångöra
Nordfladdermus
Björksplintborre
Större brunfladdermus</t>
        </is>
      </c>
      <c r="V14">
        <f>HYPERLINK("https://klasma.github.io/Logging_0604/artfynd/A 43750-2025 artfynd.xlsx", "A 43750-2025")</f>
        <v/>
      </c>
      <c r="W14">
        <f>HYPERLINK("https://klasma.github.io/Logging_0604/kartor/A 43750-2025 karta.png", "A 43750-2025")</f>
        <v/>
      </c>
      <c r="Y14">
        <f>HYPERLINK("https://klasma.github.io/Logging_0604/klagomål/A 43750-2025 FSC-klagomål.docx", "A 43750-2025")</f>
        <v/>
      </c>
      <c r="Z14">
        <f>HYPERLINK("https://klasma.github.io/Logging_0604/klagomålsmail/A 43750-2025 FSC-klagomål mail.docx", "A 43750-2025")</f>
        <v/>
      </c>
      <c r="AA14">
        <f>HYPERLINK("https://klasma.github.io/Logging_0604/tillsyn/A 43750-2025 tillsynsbegäran.docx", "A 43750-2025")</f>
        <v/>
      </c>
      <c r="AB14">
        <f>HYPERLINK("https://klasma.github.io/Logging_0604/tillsynsmail/A 43750-2025 tillsynsbegäran mail.docx", "A 43750-2025")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46218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Talltita
Sångsvan
Trana
Ärtsångare</t>
        </is>
      </c>
      <c r="V15">
        <f>HYPERLINK("https://klasma.github.io/Logging_0604/artfynd/A 37155-2024 artfynd.xlsx", "A 37155-2024")</f>
        <v/>
      </c>
      <c r="W15">
        <f>HYPERLINK("https://klasma.github.io/Logging_0604/kartor/A 37155-2024 karta.png", "A 37155-2024")</f>
        <v/>
      </c>
      <c r="Y15">
        <f>HYPERLINK("https://klasma.github.io/Logging_0604/klagomål/A 37155-2024 FSC-klagomål.docx", "A 37155-2024")</f>
        <v/>
      </c>
      <c r="Z15">
        <f>HYPERLINK("https://klasma.github.io/Logging_0604/klagomålsmail/A 37155-2024 FSC-klagomål mail.docx", "A 37155-2024")</f>
        <v/>
      </c>
      <c r="AA15">
        <f>HYPERLINK("https://klasma.github.io/Logging_0604/tillsyn/A 37155-2024 tillsynsbegäran.docx", "A 37155-2024")</f>
        <v/>
      </c>
      <c r="AB15">
        <f>HYPERLINK("https://klasma.github.io/Logging_0604/tillsynsmail/A 37155-2024 tillsynsbegäran mail.docx", "A 37155-2024")</f>
        <v/>
      </c>
      <c r="AC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46218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s="2" t="inlineStr">
        <is>
          <t>Knärot
Brandticka
Bronshjon
Vågbandad barkbock</t>
        </is>
      </c>
      <c r="V16">
        <f>HYPERLINK("https://klasma.github.io/Logging_0604/artfynd/A 60716-2025 artfynd.xlsx", "A 60716-2025")</f>
        <v/>
      </c>
      <c r="W16">
        <f>HYPERLINK("https://klasma.github.io/Logging_0604/kartor/A 60716-2025 karta.png", "A 60716-2025")</f>
        <v/>
      </c>
      <c r="X16">
        <f>HYPERLINK("https://klasma.github.io/Logging_0604/knärot/A 60716-2025 karta knärot.png", "A 60716-2025")</f>
        <v/>
      </c>
      <c r="Y16">
        <f>HYPERLINK("https://klasma.github.io/Logging_0604/klagomål/A 60716-2025 FSC-klagomål.docx", "A 60716-2025")</f>
        <v/>
      </c>
      <c r="Z16">
        <f>HYPERLINK("https://klasma.github.io/Logging_0604/klagomålsmail/A 60716-2025 FSC-klagomål mail.docx", "A 60716-2025")</f>
        <v/>
      </c>
      <c r="AA16">
        <f>HYPERLINK("https://klasma.github.io/Logging_0604/tillsyn/A 60716-2025 tillsynsbegäran.docx", "A 60716-2025")</f>
        <v/>
      </c>
      <c r="AB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46218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s="2" t="inlineStr">
        <is>
          <t>Slåttergubbe
Jungfrulin
Ängsstarr
Fläcknycklar</t>
        </is>
      </c>
      <c r="V17">
        <f>HYPERLINK("https://klasma.github.io/Logging_0604/artfynd/A 18417-2026 artfynd.xlsx", "A 18417-2026")</f>
        <v/>
      </c>
      <c r="W17">
        <f>HYPERLINK("https://klasma.github.io/Logging_0604/kartor/A 18417-2026 karta.png", "A 18417-2026")</f>
        <v/>
      </c>
      <c r="Y17">
        <f>HYPERLINK("https://klasma.github.io/Logging_0604/klagomål/A 18417-2026 FSC-klagomål.docx", "A 18417-2026")</f>
        <v/>
      </c>
      <c r="Z17">
        <f>HYPERLINK("https://klasma.github.io/Logging_0604/klagomålsmail/A 18417-2026 FSC-klagomål mail.docx", "A 18417-2026")</f>
        <v/>
      </c>
      <c r="AA17">
        <f>HYPERLINK("https://klasma.github.io/Logging_0604/tillsyn/A 18417-2026 tillsynsbegäran.docx", "A 18417-2026")</f>
        <v/>
      </c>
      <c r="AB17">
        <f>HYPERLINK("https://klasma.github.io/Logging_0604/tillsynsmail/A 18417-2026 tillsynsbegäran mail.docx", "A 18417-2026")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46218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s="2" t="inlineStr">
        <is>
          <t>Kötticka
Spillkråka
Revlummer</t>
        </is>
      </c>
      <c r="V18">
        <f>HYPERLINK("https://klasma.github.io/Logging_0604/artfynd/A 230-2024 artfynd.xlsx", "A 230-2024")</f>
        <v/>
      </c>
      <c r="W18">
        <f>HYPERLINK("https://klasma.github.io/Logging_0604/kartor/A 230-2024 karta.png", "A 230-2024")</f>
        <v/>
      </c>
      <c r="Y18">
        <f>HYPERLINK("https://klasma.github.io/Logging_0604/klagomål/A 230-2024 FSC-klagomål.docx", "A 230-2024")</f>
        <v/>
      </c>
      <c r="Z18">
        <f>HYPERLINK("https://klasma.github.io/Logging_0604/klagomålsmail/A 230-2024 FSC-klagomål mail.docx", "A 230-2024")</f>
        <v/>
      </c>
      <c r="AA18">
        <f>HYPERLINK("https://klasma.github.io/Logging_0604/tillsyn/A 230-2024 tillsynsbegäran.docx", "A 230-2024")</f>
        <v/>
      </c>
      <c r="AB18">
        <f>HYPERLINK("https://klasma.github.io/Logging_0604/tillsynsmail/A 230-2024 tillsynsbegäran mail.docx", "A 230-2024")</f>
        <v/>
      </c>
      <c r="AC18">
        <f>HYPERLINK("https://klasma.github.io/Logging_0604/fåglar/A 230-2024 prioriterade fågelarter.docx", "A 230-2024")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46218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Tjäder
Vanlig groda
Grönvit nattviol</t>
        </is>
      </c>
      <c r="V19">
        <f>HYPERLINK("https://klasma.github.io/Logging_0604/artfynd/A 10301-2024 artfynd.xlsx", "A 10301-2024")</f>
        <v/>
      </c>
      <c r="W19">
        <f>HYPERLINK("https://klasma.github.io/Logging_0604/kartor/A 10301-2024 karta.png", "A 10301-2024")</f>
        <v/>
      </c>
      <c r="Y19">
        <f>HYPERLINK("https://klasma.github.io/Logging_0604/klagomål/A 10301-2024 FSC-klagomål.docx", "A 10301-2024")</f>
        <v/>
      </c>
      <c r="Z19">
        <f>HYPERLINK("https://klasma.github.io/Logging_0604/klagomålsmail/A 10301-2024 FSC-klagomål mail.docx", "A 10301-2024")</f>
        <v/>
      </c>
      <c r="AA19">
        <f>HYPERLINK("https://klasma.github.io/Logging_0604/tillsyn/A 10301-2024 tillsynsbegäran.docx", "A 10301-2024")</f>
        <v/>
      </c>
      <c r="AB19">
        <f>HYPERLINK("https://klasma.github.io/Logging_0604/tillsynsmail/A 10301-2024 tillsynsbegäran mail.docx", "A 10301-2024")</f>
        <v/>
      </c>
      <c r="AC19">
        <f>HYPERLINK("https://klasma.github.io/Logging_0604/fåglar/A 10301-2024 prioriterade fågelarter.docx", "A 10301-2024")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46218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s="2" t="inlineStr">
        <is>
          <t>Rödgul trumpetsvamp
Spillkråka
Lopplummer (aggregat)</t>
        </is>
      </c>
      <c r="V20">
        <f>HYPERLINK("https://klasma.github.io/Logging_0604/artfynd/A 8457-2025 artfynd.xlsx", "A 8457-2025")</f>
        <v/>
      </c>
      <c r="W20">
        <f>HYPERLINK("https://klasma.github.io/Logging_0604/kartor/A 8457-2025 karta.png", "A 8457-2025")</f>
        <v/>
      </c>
      <c r="Y20">
        <f>HYPERLINK("https://klasma.github.io/Logging_0604/klagomål/A 8457-2025 FSC-klagomål.docx", "A 8457-2025")</f>
        <v/>
      </c>
      <c r="Z20">
        <f>HYPERLINK("https://klasma.github.io/Logging_0604/klagomålsmail/A 8457-2025 FSC-klagomål mail.docx", "A 8457-2025")</f>
        <v/>
      </c>
      <c r="AA20">
        <f>HYPERLINK("https://klasma.github.io/Logging_0604/tillsyn/A 8457-2025 tillsynsbegäran.docx", "A 8457-2025")</f>
        <v/>
      </c>
      <c r="AB20">
        <f>HYPERLINK("https://klasma.github.io/Logging_0604/tillsynsmail/A 8457-2025 tillsynsbegäran mail.docx", "A 8457-2025")</f>
        <v/>
      </c>
      <c r="AC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46218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Råttspindling
Hasselticka
Blåsippa</t>
        </is>
      </c>
      <c r="V21">
        <f>HYPERLINK("https://klasma.github.io/Logging_0604/artfynd/A 9775-2026 artfynd.xlsx", "A 9775-2026")</f>
        <v/>
      </c>
      <c r="W21">
        <f>HYPERLINK("https://klasma.github.io/Logging_0604/kartor/A 9775-2026 karta.png", "A 9775-2026")</f>
        <v/>
      </c>
      <c r="Y21">
        <f>HYPERLINK("https://klasma.github.io/Logging_0604/klagomål/A 9775-2026 FSC-klagomål.docx", "A 9775-2026")</f>
        <v/>
      </c>
      <c r="Z21">
        <f>HYPERLINK("https://klasma.github.io/Logging_0604/klagomålsmail/A 9775-2026 FSC-klagomål mail.docx", "A 9775-2026")</f>
        <v/>
      </c>
      <c r="AA21">
        <f>HYPERLINK("https://klasma.github.io/Logging_0604/tillsyn/A 9775-2026 tillsynsbegäran.docx", "A 9775-2026")</f>
        <v/>
      </c>
      <c r="AB21">
        <f>HYPERLINK("https://klasma.github.io/Logging_0604/tillsynsmail/A 9775-2026 tillsynsbegäran mail.docx", "A 9775-2026")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46218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Gullpudra
Kungsfågel</t>
        </is>
      </c>
      <c r="V22">
        <f>HYPERLINK("https://klasma.github.io/Logging_0604/artfynd/A 49437-2023 artfynd.xlsx", "A 49437-2023")</f>
        <v/>
      </c>
      <c r="W22">
        <f>HYPERLINK("https://klasma.github.io/Logging_0604/kartor/A 49437-2023 karta.png", "A 49437-2023")</f>
        <v/>
      </c>
      <c r="Y22">
        <f>HYPERLINK("https://klasma.github.io/Logging_0604/klagomål/A 49437-2023 FSC-klagomål.docx", "A 49437-2023")</f>
        <v/>
      </c>
      <c r="Z22">
        <f>HYPERLINK("https://klasma.github.io/Logging_0604/klagomålsmail/A 49437-2023 FSC-klagomål mail.docx", "A 49437-2023")</f>
        <v/>
      </c>
      <c r="AA22">
        <f>HYPERLINK("https://klasma.github.io/Logging_0604/tillsyn/A 49437-2023 tillsynsbegäran.docx", "A 49437-2023")</f>
        <v/>
      </c>
      <c r="AB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46218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Grönsiska
Kungsfågel</t>
        </is>
      </c>
      <c r="V23">
        <f>HYPERLINK("https://klasma.github.io/Logging_0604/artfynd/A 27285-2026 artfynd.xlsx", "A 27285-2026")</f>
        <v/>
      </c>
      <c r="W23">
        <f>HYPERLINK("https://klasma.github.io/Logging_0604/kartor/A 27285-2026 karta.png", "A 27285-2026")</f>
        <v/>
      </c>
      <c r="Y23">
        <f>HYPERLINK("https://klasma.github.io/Logging_0604/klagomål/A 27285-2026 FSC-klagomål.docx", "A 27285-2026")</f>
        <v/>
      </c>
      <c r="Z23">
        <f>HYPERLINK("https://klasma.github.io/Logging_0604/klagomålsmail/A 27285-2026 FSC-klagomål mail.docx", "A 27285-2026")</f>
        <v/>
      </c>
      <c r="AA23">
        <f>HYPERLINK("https://klasma.github.io/Logging_0604/tillsyn/A 27285-2026 tillsynsbegäran.docx", "A 27285-2026")</f>
        <v/>
      </c>
      <c r="AB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46218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Korallrot
Spindelblomster</t>
        </is>
      </c>
      <c r="V24">
        <f>HYPERLINK("https://klasma.github.io/Logging_0604/artfynd/A 17130-2022 artfynd.xlsx", "A 17130-2022")</f>
        <v/>
      </c>
      <c r="W24">
        <f>HYPERLINK("https://klasma.github.io/Logging_0604/kartor/A 17130-2022 karta.png", "A 17130-2022")</f>
        <v/>
      </c>
      <c r="Y24">
        <f>HYPERLINK("https://klasma.github.io/Logging_0604/klagomål/A 17130-2022 FSC-klagomål.docx", "A 17130-2022")</f>
        <v/>
      </c>
      <c r="Z24">
        <f>HYPERLINK("https://klasma.github.io/Logging_0604/klagomålsmail/A 17130-2022 FSC-klagomål mail.docx", "A 17130-2022")</f>
        <v/>
      </c>
      <c r="AA24">
        <f>HYPERLINK("https://klasma.github.io/Logging_0604/tillsyn/A 17130-2022 tillsynsbegäran.docx", "A 17130-2022")</f>
        <v/>
      </c>
      <c r="AB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46218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HYPERLINK("https://klasma.github.io/Logging_0604/artfynd/A 63467-2021 artfynd.xlsx", "A 63467-2021")</f>
        <v/>
      </c>
      <c r="W25">
        <f>HYPERLINK("https://klasma.github.io/Logging_0604/kartor/A 63467-2021 karta.png", "A 63467-2021")</f>
        <v/>
      </c>
      <c r="Y25">
        <f>HYPERLINK("https://klasma.github.io/Logging_0604/klagomål/A 63467-2021 FSC-klagomål.docx", "A 63467-2021")</f>
        <v/>
      </c>
      <c r="Z25">
        <f>HYPERLINK("https://klasma.github.io/Logging_0604/klagomålsmail/A 63467-2021 FSC-klagomål mail.docx", "A 63467-2021")</f>
        <v/>
      </c>
      <c r="AA25">
        <f>HYPERLINK("https://klasma.github.io/Logging_0604/tillsyn/A 63467-2021 tillsynsbegäran.docx", "A 63467-2021")</f>
        <v/>
      </c>
      <c r="AB25">
        <f>HYPERLINK("https://klasma.github.io/Logging_0604/tillsynsmail/A 63467-2021 tillsynsbegäran mail.docx", "A 63467-2021")</f>
        <v/>
      </c>
    </row>
    <row r="26" ht="15" customHeight="1">
      <c r="A26" t="inlineStr">
        <is>
          <t>A 8117-2025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45707</v>
      </c>
      <c r="E26" s="1" t="n">
        <v>46218</v>
      </c>
      <c r="F26" t="inlineStr">
        <is>
          <t>JÖNKÖPINGS LÄN</t>
        </is>
      </c>
      <c r="G26" t="inlineStr">
        <is>
          <t>ANEBY</t>
        </is>
      </c>
      <c r="I26" t="n">
        <v>2.3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Enkelbeckasin</t>
        </is>
      </c>
      <c r="V26">
        <f>HYPERLINK("https://klasma.github.io/Logging_0604/artfynd/A 8117-2025 artfynd.xlsx", "A 8117-2025")</f>
        <v/>
      </c>
      <c r="W26">
        <f>HYPERLINK("https://klasma.github.io/Logging_0604/kartor/A 8117-2025 karta.png", "A 8117-2025")</f>
        <v/>
      </c>
      <c r="Y26">
        <f>HYPERLINK("https://klasma.github.io/Logging_0604/klagomål/A 8117-2025 FSC-klagomål.docx", "A 8117-2025")</f>
        <v/>
      </c>
      <c r="Z26">
        <f>HYPERLINK("https://klasma.github.io/Logging_0604/klagomålsmail/A 8117-2025 FSC-klagomål mail.docx", "A 8117-2025")</f>
        <v/>
      </c>
      <c r="AA26">
        <f>HYPERLINK("https://klasma.github.io/Logging_0604/tillsyn/A 8117-2025 tillsynsbegäran.docx", "A 8117-2025")</f>
        <v/>
      </c>
      <c r="AB26">
        <f>HYPERLINK("https://klasma.github.io/Logging_0604/tillsynsmail/A 8117-2025 tillsynsbegäran mail.docx", "A 8117-2025")</f>
        <v/>
      </c>
      <c r="AC26">
        <f>HYPERLINK("https://klasma.github.io/Logging_0604/fåglar/A 8117-2025 prioriterade fågelarter.docx", "A 8117-2025")</f>
        <v/>
      </c>
    </row>
    <row r="27" ht="15" customHeight="1">
      <c r="A27" t="inlineStr">
        <is>
          <t>A 24863-2024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46218</v>
      </c>
      <c r="F27" t="inlineStr">
        <is>
          <t>JÖNKÖPINGS LÄN</t>
        </is>
      </c>
      <c r="G27" t="inlineStr">
        <is>
          <t>ANEBY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Järpe</t>
        </is>
      </c>
      <c r="V27">
        <f>HYPERLINK("https://klasma.github.io/Logging_0604/artfynd/A 24863-2024 artfynd.xlsx", "A 24863-2024")</f>
        <v/>
      </c>
      <c r="W27">
        <f>HYPERLINK("https://klasma.github.io/Logging_0604/kartor/A 24863-2024 karta.png", "A 24863-2024")</f>
        <v/>
      </c>
      <c r="Y27">
        <f>HYPERLINK("https://klasma.github.io/Logging_0604/klagomål/A 24863-2024 FSC-klagomål.docx", "A 24863-2024")</f>
        <v/>
      </c>
      <c r="Z27">
        <f>HYPERLINK("https://klasma.github.io/Logging_0604/klagomålsmail/A 24863-2024 FSC-klagomål mail.docx", "A 24863-2024")</f>
        <v/>
      </c>
      <c r="AA27">
        <f>HYPERLINK("https://klasma.github.io/Logging_0604/tillsyn/A 24863-2024 tillsynsbegäran.docx", "A 24863-2024")</f>
        <v/>
      </c>
      <c r="AB27">
        <f>HYPERLINK("https://klasma.github.io/Logging_0604/tillsynsmail/A 24863-2024 tillsynsbegäran mail.docx", "A 24863-2024")</f>
        <v/>
      </c>
      <c r="AC27">
        <f>HYPERLINK("https://klasma.github.io/Logging_0604/fåglar/A 24863-2024 prioriterade fågelarter.docx", "A 24863-2024")</f>
        <v/>
      </c>
    </row>
    <row r="28" ht="15" customHeight="1">
      <c r="A28" t="inlineStr">
        <is>
          <t>A 10358-2024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46218</v>
      </c>
      <c r="F28" t="inlineStr">
        <is>
          <t>JÖNKÖPINGS LÄN</t>
        </is>
      </c>
      <c r="G28" t="inlineStr">
        <is>
          <t>ANEBY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Revlummer</t>
        </is>
      </c>
      <c r="V28">
        <f>HYPERLINK("https://klasma.github.io/Logging_0604/artfynd/A 10358-2024 artfynd.xlsx", "A 10358-2024")</f>
        <v/>
      </c>
      <c r="W28">
        <f>HYPERLINK("https://klasma.github.io/Logging_0604/kartor/A 10358-2024 karta.png", "A 10358-2024")</f>
        <v/>
      </c>
      <c r="Y28">
        <f>HYPERLINK("https://klasma.github.io/Logging_0604/klagomål/A 10358-2024 FSC-klagomål.docx", "A 10358-2024")</f>
        <v/>
      </c>
      <c r="Z28">
        <f>HYPERLINK("https://klasma.github.io/Logging_0604/klagomålsmail/A 10358-2024 FSC-klagomål mail.docx", "A 10358-2024")</f>
        <v/>
      </c>
      <c r="AA28">
        <f>HYPERLINK("https://klasma.github.io/Logging_0604/tillsyn/A 10358-2024 tillsynsbegäran.docx", "A 10358-2024")</f>
        <v/>
      </c>
      <c r="AB28">
        <f>HYPERLINK("https://klasma.github.io/Logging_0604/tillsynsmail/A 10358-2024 tillsynsbegäran mail.docx", "A 10358-2024")</f>
        <v/>
      </c>
    </row>
    <row r="29" ht="15" customHeight="1">
      <c r="A29" t="inlineStr">
        <is>
          <t>A 10010-2023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44985</v>
      </c>
      <c r="E29" s="1" t="n">
        <v>46218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HYPERLINK("https://klasma.github.io/Logging_0604/artfynd/A 10010-2023 artfynd.xlsx", "A 10010-2023")</f>
        <v/>
      </c>
      <c r="W29">
        <f>HYPERLINK("https://klasma.github.io/Logging_0604/kartor/A 10010-2023 karta.png", "A 10010-2023")</f>
        <v/>
      </c>
      <c r="Y29">
        <f>HYPERLINK("https://klasma.github.io/Logging_0604/klagomål/A 10010-2023 FSC-klagomål.docx", "A 10010-2023")</f>
        <v/>
      </c>
      <c r="Z29">
        <f>HYPERLINK("https://klasma.github.io/Logging_0604/klagomålsmail/A 10010-2023 FSC-klagomål mail.docx", "A 10010-2023")</f>
        <v/>
      </c>
      <c r="AA29">
        <f>HYPERLINK("https://klasma.github.io/Logging_0604/tillsyn/A 10010-2023 tillsynsbegäran.docx", "A 10010-2023")</f>
        <v/>
      </c>
      <c r="AB29">
        <f>HYPERLINK("https://klasma.github.io/Logging_0604/tillsynsmail/A 10010-2023 tillsynsbegäran mail.docx", "A 10010-2023")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46218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HYPERLINK("https://klasma.github.io/Logging_0604/artfynd/A 51453-2021 artfynd.xlsx", "A 51453-2021")</f>
        <v/>
      </c>
      <c r="W30">
        <f>HYPERLINK("https://klasma.github.io/Logging_0604/kartor/A 51453-2021 karta.png", "A 51453-2021")</f>
        <v/>
      </c>
      <c r="Y30">
        <f>HYPERLINK("https://klasma.github.io/Logging_0604/klagomål/A 51453-2021 FSC-klagomål.docx", "A 51453-2021")</f>
        <v/>
      </c>
      <c r="Z30">
        <f>HYPERLINK("https://klasma.github.io/Logging_0604/klagomålsmail/A 51453-2021 FSC-klagomål mail.docx", "A 51453-2021")</f>
        <v/>
      </c>
      <c r="AA30">
        <f>HYPERLINK("https://klasma.github.io/Logging_0604/tillsyn/A 51453-2021 tillsynsbegäran.docx", "A 51453-2021")</f>
        <v/>
      </c>
      <c r="AB30">
        <f>HYPERLINK("https://klasma.github.io/Logging_0604/tillsynsmail/A 51453-2021 tillsynsbegäran mail.docx", "A 51453-2021")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46218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Dofttaggsvamp</t>
        </is>
      </c>
      <c r="V31">
        <f>HYPERLINK("https://klasma.github.io/Logging_0604/artfynd/A 48560-2025 artfynd.xlsx", "A 48560-2025")</f>
        <v/>
      </c>
      <c r="W31">
        <f>HYPERLINK("https://klasma.github.io/Logging_0604/kartor/A 48560-2025 karta.png", "A 48560-2025")</f>
        <v/>
      </c>
      <c r="Y31">
        <f>HYPERLINK("https://klasma.github.io/Logging_0604/klagomål/A 48560-2025 FSC-klagomål.docx", "A 48560-2025")</f>
        <v/>
      </c>
      <c r="Z31">
        <f>HYPERLINK("https://klasma.github.io/Logging_0604/klagomålsmail/A 48560-2025 FSC-klagomål mail.docx", "A 48560-2025")</f>
        <v/>
      </c>
      <c r="AA31">
        <f>HYPERLINK("https://klasma.github.io/Logging_0604/tillsyn/A 48560-2025 tillsynsbegäran.docx", "A 48560-2025")</f>
        <v/>
      </c>
      <c r="AB31">
        <f>HYPERLINK("https://klasma.github.io/Logging_0604/tillsynsmail/A 48560-2025 tillsynsbegäran mail.docx", "A 48560-2025")</f>
        <v/>
      </c>
    </row>
    <row r="32" ht="15" customHeight="1">
      <c r="A32" t="inlineStr">
        <is>
          <t>A 28452-2022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46218</v>
      </c>
      <c r="F32" t="inlineStr">
        <is>
          <t>JÖNKÖPINGS LÄN</t>
        </is>
      </c>
      <c r="G32" t="inlineStr">
        <is>
          <t>ANEBY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Odontocerum albicorne</t>
        </is>
      </c>
      <c r="V32">
        <f>HYPERLINK("https://klasma.github.io/Logging_0604/artfynd/A 28452-2022 artfynd.xlsx", "A 28452-2022")</f>
        <v/>
      </c>
      <c r="W32">
        <f>HYPERLINK("https://klasma.github.io/Logging_0604/kartor/A 28452-2022 karta.png", "A 28452-2022")</f>
        <v/>
      </c>
      <c r="Y32">
        <f>HYPERLINK("https://klasma.github.io/Logging_0604/klagomål/A 28452-2022 FSC-klagomål.docx", "A 28452-2022")</f>
        <v/>
      </c>
      <c r="Z32">
        <f>HYPERLINK("https://klasma.github.io/Logging_0604/klagomålsmail/A 28452-2022 FSC-klagomål mail.docx", "A 28452-2022")</f>
        <v/>
      </c>
      <c r="AA32">
        <f>HYPERLINK("https://klasma.github.io/Logging_0604/tillsyn/A 28452-2022 tillsynsbegäran.docx", "A 28452-2022")</f>
        <v/>
      </c>
      <c r="AB32">
        <f>HYPERLINK("https://klasma.github.io/Logging_0604/tillsynsmail/A 28452-2022 tillsynsbegäran mail.docx", "A 28452-2022")</f>
        <v/>
      </c>
    </row>
    <row r="33" ht="15" customHeight="1">
      <c r="A33" t="inlineStr">
        <is>
          <t>A 26784-2022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44740</v>
      </c>
      <c r="E33" s="1" t="n">
        <v>46218</v>
      </c>
      <c r="F33" t="inlineStr">
        <is>
          <t>JÖNKÖPINGS LÄN</t>
        </is>
      </c>
      <c r="G33" t="inlineStr">
        <is>
          <t>ANEBY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Vårstarr</t>
        </is>
      </c>
      <c r="V33">
        <f>HYPERLINK("https://klasma.github.io/Logging_0604/artfynd/A 26784-2022 artfynd.xlsx", "A 26784-2022")</f>
        <v/>
      </c>
      <c r="W33">
        <f>HYPERLINK("https://klasma.github.io/Logging_0604/kartor/A 26784-2022 karta.png", "A 26784-2022")</f>
        <v/>
      </c>
      <c r="Y33">
        <f>HYPERLINK("https://klasma.github.io/Logging_0604/klagomål/A 26784-2022 FSC-klagomål.docx", "A 26784-2022")</f>
        <v/>
      </c>
      <c r="Z33">
        <f>HYPERLINK("https://klasma.github.io/Logging_0604/klagomålsmail/A 26784-2022 FSC-klagomål mail.docx", "A 26784-2022")</f>
        <v/>
      </c>
      <c r="AA33">
        <f>HYPERLINK("https://klasma.github.io/Logging_0604/tillsyn/A 26784-2022 tillsynsbegäran.docx", "A 26784-2022")</f>
        <v/>
      </c>
      <c r="AB33">
        <f>HYPERLINK("https://klasma.github.io/Logging_0604/tillsynsmail/A 26784-2022 tillsynsbegäran mail.docx", "A 26784-2022")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46218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HYPERLINK("https://klasma.github.io/Logging_0604/artfynd/A 412-2022 artfynd.xlsx", "A 412-2022")</f>
        <v/>
      </c>
      <c r="W34">
        <f>HYPERLINK("https://klasma.github.io/Logging_0604/kartor/A 412-2022 karta.png", "A 412-2022")</f>
        <v/>
      </c>
      <c r="Y34">
        <f>HYPERLINK("https://klasma.github.io/Logging_0604/klagomål/A 412-2022 FSC-klagomål.docx", "A 412-2022")</f>
        <v/>
      </c>
      <c r="Z34">
        <f>HYPERLINK("https://klasma.github.io/Logging_0604/klagomålsmail/A 412-2022 FSC-klagomål mail.docx", "A 412-2022")</f>
        <v/>
      </c>
      <c r="AA34">
        <f>HYPERLINK("https://klasma.github.io/Logging_0604/tillsyn/A 412-2022 tillsynsbegäran.docx", "A 412-2022")</f>
        <v/>
      </c>
      <c r="AB34">
        <f>HYPERLINK("https://klasma.github.io/Logging_0604/tillsynsmail/A 412-2022 tillsynsbegäran mail.docx", "A 412-2022")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46218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Talltita</t>
        </is>
      </c>
      <c r="V35">
        <f>HYPERLINK("https://klasma.github.io/Logging_0604/artfynd/A 38728-2024 artfynd.xlsx", "A 38728-2024")</f>
        <v/>
      </c>
      <c r="W35">
        <f>HYPERLINK("https://klasma.github.io/Logging_0604/kartor/A 38728-2024 karta.png", "A 38728-2024")</f>
        <v/>
      </c>
      <c r="Y35">
        <f>HYPERLINK("https://klasma.github.io/Logging_0604/klagomål/A 38728-2024 FSC-klagomål.docx", "A 38728-2024")</f>
        <v/>
      </c>
      <c r="Z35">
        <f>HYPERLINK("https://klasma.github.io/Logging_0604/klagomålsmail/A 38728-2024 FSC-klagomål mail.docx", "A 38728-2024")</f>
        <v/>
      </c>
      <c r="AA35">
        <f>HYPERLINK("https://klasma.github.io/Logging_0604/tillsyn/A 38728-2024 tillsynsbegäran.docx", "A 38728-2024")</f>
        <v/>
      </c>
      <c r="AB35">
        <f>HYPERLINK("https://klasma.github.io/Logging_0604/tillsynsmail/A 38728-2024 tillsynsbegäran mail.docx", "A 38728-2024")</f>
        <v/>
      </c>
      <c r="AC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46218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Lopplummer (aggregat)</t>
        </is>
      </c>
      <c r="V36">
        <f>HYPERLINK("https://klasma.github.io/Logging_0604/artfynd/A 13163-2024 artfynd.xlsx", "A 13163-2024")</f>
        <v/>
      </c>
      <c r="W36">
        <f>HYPERLINK("https://klasma.github.io/Logging_0604/kartor/A 13163-2024 karta.png", "A 13163-2024")</f>
        <v/>
      </c>
      <c r="Y36">
        <f>HYPERLINK("https://klasma.github.io/Logging_0604/klagomål/A 13163-2024 FSC-klagomål.docx", "A 13163-2024")</f>
        <v/>
      </c>
      <c r="Z36">
        <f>HYPERLINK("https://klasma.github.io/Logging_0604/klagomålsmail/A 13163-2024 FSC-klagomål mail.docx", "A 13163-2024")</f>
        <v/>
      </c>
      <c r="AA36">
        <f>HYPERLINK("https://klasma.github.io/Logging_0604/tillsyn/A 13163-2024 tillsynsbegäran.docx", "A 13163-2024")</f>
        <v/>
      </c>
      <c r="AB36">
        <f>HYPERLINK("https://klasma.github.io/Logging_0604/tillsynsmail/A 13163-2024 tillsynsbegäran mail.docx", "A 13163-2024")</f>
        <v/>
      </c>
    </row>
    <row r="37" ht="15" customHeight="1">
      <c r="A37" t="inlineStr">
        <is>
          <t>A 25875-2024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45467</v>
      </c>
      <c r="E37" s="1" t="n">
        <v>46218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Kungsfågel</t>
        </is>
      </c>
      <c r="V37">
        <f>HYPERLINK("https://klasma.github.io/Logging_0604/artfynd/A 25875-2024 artfynd.xlsx", "A 25875-2024")</f>
        <v/>
      </c>
      <c r="W37">
        <f>HYPERLINK("https://klasma.github.io/Logging_0604/kartor/A 25875-2024 karta.png", "A 25875-2024")</f>
        <v/>
      </c>
      <c r="Y37">
        <f>HYPERLINK("https://klasma.github.io/Logging_0604/klagomål/A 25875-2024 FSC-klagomål.docx", "A 25875-2024")</f>
        <v/>
      </c>
      <c r="Z37">
        <f>HYPERLINK("https://klasma.github.io/Logging_0604/klagomålsmail/A 25875-2024 FSC-klagomål mail.docx", "A 25875-2024")</f>
        <v/>
      </c>
      <c r="AA37">
        <f>HYPERLINK("https://klasma.github.io/Logging_0604/tillsyn/A 25875-2024 tillsynsbegäran.docx", "A 25875-2024")</f>
        <v/>
      </c>
      <c r="AB37">
        <f>HYPERLINK("https://klasma.github.io/Logging_0604/tillsynsmail/A 25875-2024 tillsynsbegäran mail.docx", "A 25875-2024")</f>
        <v/>
      </c>
    </row>
    <row r="38" ht="15" customHeight="1">
      <c r="A38" t="inlineStr">
        <is>
          <t>A 40897-2024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46218</v>
      </c>
      <c r="F38" t="inlineStr">
        <is>
          <t>JÖNKÖPINGS LÄN</t>
        </is>
      </c>
      <c r="G38" t="inlineStr">
        <is>
          <t>ANEBY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Fläckmaskros</t>
        </is>
      </c>
      <c r="V38">
        <f>HYPERLINK("https://klasma.github.io/Logging_0604/artfynd/A 40897-2024 artfynd.xlsx", "A 40897-2024")</f>
        <v/>
      </c>
      <c r="W38">
        <f>HYPERLINK("https://klasma.github.io/Logging_0604/kartor/A 40897-2024 karta.png", "A 40897-2024")</f>
        <v/>
      </c>
      <c r="Y38">
        <f>HYPERLINK("https://klasma.github.io/Logging_0604/klagomål/A 40897-2024 FSC-klagomål.docx", "A 40897-2024")</f>
        <v/>
      </c>
      <c r="Z38">
        <f>HYPERLINK("https://klasma.github.io/Logging_0604/klagomålsmail/A 40897-2024 FSC-klagomål mail.docx", "A 40897-2024")</f>
        <v/>
      </c>
      <c r="AA38">
        <f>HYPERLINK("https://klasma.github.io/Logging_0604/tillsyn/A 40897-2024 tillsynsbegäran.docx", "A 40897-2024")</f>
        <v/>
      </c>
      <c r="AB38">
        <f>HYPERLINK("https://klasma.github.io/Logging_0604/tillsynsmail/A 40897-2024 tillsynsbegäran mail.docx", "A 40897-2024")</f>
        <v/>
      </c>
    </row>
    <row r="39" ht="15" customHeight="1">
      <c r="A39" t="inlineStr">
        <is>
          <t>A 38338-2023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46218</v>
      </c>
      <c r="F39" t="inlineStr">
        <is>
          <t>JÖNKÖPINGS LÄN</t>
        </is>
      </c>
      <c r="G39" t="inlineStr">
        <is>
          <t>ANEBY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Grönvit nattviol</t>
        </is>
      </c>
      <c r="V39">
        <f>HYPERLINK("https://klasma.github.io/Logging_0604/artfynd/A 38338-2023 artfynd.xlsx", "A 38338-2023")</f>
        <v/>
      </c>
      <c r="W39">
        <f>HYPERLINK("https://klasma.github.io/Logging_0604/kartor/A 38338-2023 karta.png", "A 38338-2023")</f>
        <v/>
      </c>
      <c r="Y39">
        <f>HYPERLINK("https://klasma.github.io/Logging_0604/klagomål/A 38338-2023 FSC-klagomål.docx", "A 38338-2023")</f>
        <v/>
      </c>
      <c r="Z39">
        <f>HYPERLINK("https://klasma.github.io/Logging_0604/klagomålsmail/A 38338-2023 FSC-klagomål mail.docx", "A 38338-2023")</f>
        <v/>
      </c>
      <c r="AA39">
        <f>HYPERLINK("https://klasma.github.io/Logging_0604/tillsyn/A 38338-2023 tillsynsbegäran.docx", "A 38338-2023")</f>
        <v/>
      </c>
      <c r="AB39">
        <f>HYPERLINK("https://klasma.github.io/Logging_0604/tillsynsmail/A 38338-2023 tillsynsbegäran mail.docx", "A 38338-2023")</f>
        <v/>
      </c>
    </row>
    <row r="40" ht="15" customHeight="1">
      <c r="A40" t="inlineStr">
        <is>
          <t>A 53251-2023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46218</v>
      </c>
      <c r="F40" t="inlineStr">
        <is>
          <t>JÖNKÖPINGS LÄN</t>
        </is>
      </c>
      <c r="G40" t="inlineStr">
        <is>
          <t>ANEBY</t>
        </is>
      </c>
      <c r="I40" t="n">
        <v>2.2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Slåttergubbe</t>
        </is>
      </c>
      <c r="V40">
        <f>HYPERLINK("https://klasma.github.io/Logging_0604/artfynd/A 53251-2023 artfynd.xlsx", "A 53251-2023")</f>
        <v/>
      </c>
      <c r="W40">
        <f>HYPERLINK("https://klasma.github.io/Logging_0604/kartor/A 53251-2023 karta.png", "A 53251-2023")</f>
        <v/>
      </c>
      <c r="Y40">
        <f>HYPERLINK("https://klasma.github.io/Logging_0604/klagomål/A 53251-2023 FSC-klagomål.docx", "A 53251-2023")</f>
        <v/>
      </c>
      <c r="Z40">
        <f>HYPERLINK("https://klasma.github.io/Logging_0604/klagomålsmail/A 53251-2023 FSC-klagomål mail.docx", "A 53251-2023")</f>
        <v/>
      </c>
      <c r="AA40">
        <f>HYPERLINK("https://klasma.github.io/Logging_0604/tillsyn/A 53251-2023 tillsynsbegäran.docx", "A 53251-2023")</f>
        <v/>
      </c>
      <c r="AB40">
        <f>HYPERLINK("https://klasma.github.io/Logging_0604/tillsynsmail/A 53251-2023 tillsynsbegäran mail.docx", "A 53251-2023")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46218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Stor ängsmaskros</t>
        </is>
      </c>
      <c r="V41">
        <f>HYPERLINK("https://klasma.github.io/Logging_0604/artfynd/A 25891-2026 artfynd.xlsx", "A 25891-2026")</f>
        <v/>
      </c>
      <c r="W41">
        <f>HYPERLINK("https://klasma.github.io/Logging_0604/kartor/A 25891-2026 karta.png", "A 25891-2026")</f>
        <v/>
      </c>
      <c r="Y41">
        <f>HYPERLINK("https://klasma.github.io/Logging_0604/klagomål/A 25891-2026 FSC-klagomål.docx", "A 25891-2026")</f>
        <v/>
      </c>
      <c r="Z41">
        <f>HYPERLINK("https://klasma.github.io/Logging_0604/klagomålsmail/A 25891-2026 FSC-klagomål mail.docx", "A 25891-2026")</f>
        <v/>
      </c>
      <c r="AA41">
        <f>HYPERLINK("https://klasma.github.io/Logging_0604/tillsyn/A 25891-2026 tillsynsbegäran.docx", "A 25891-2026")</f>
        <v/>
      </c>
      <c r="AB41">
        <f>HYPERLINK("https://klasma.github.io/Logging_0604/tillsynsmail/A 25891-2026 tillsynsbegäran mail.docx", "A 25891-2026")</f>
        <v/>
      </c>
    </row>
    <row r="42" ht="15" customHeight="1">
      <c r="A42" t="inlineStr">
        <is>
          <t>A 24820-2026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46218</v>
      </c>
      <c r="F42" t="inlineStr">
        <is>
          <t>JÖNKÖPINGS LÄN</t>
        </is>
      </c>
      <c r="G42" t="inlineStr">
        <is>
          <t>ANEBY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s="2" t="inlineStr">
        <is>
          <t>Grönvit nattviol</t>
        </is>
      </c>
      <c r="V42">
        <f>HYPERLINK("https://klasma.github.io/Logging_0604/artfynd/A 24820-2026 artfynd.xlsx", "A 24820-2026")</f>
        <v/>
      </c>
      <c r="W42">
        <f>HYPERLINK("https://klasma.github.io/Logging_0604/kartor/A 24820-2026 karta.png", "A 24820-2026")</f>
        <v/>
      </c>
      <c r="Y42">
        <f>HYPERLINK("https://klasma.github.io/Logging_0604/klagomål/A 24820-2026 FSC-klagomål.docx", "A 24820-2026")</f>
        <v/>
      </c>
      <c r="Z42">
        <f>HYPERLINK("https://klasma.github.io/Logging_0604/klagomålsmail/A 24820-2026 FSC-klagomål mail.docx", "A 24820-2026")</f>
        <v/>
      </c>
      <c r="AA42">
        <f>HYPERLINK("https://klasma.github.io/Logging_0604/tillsyn/A 24820-2026 tillsynsbegäran.docx", "A 24820-2026")</f>
        <v/>
      </c>
      <c r="AB42">
        <f>HYPERLINK("https://klasma.github.io/Logging_0604/tillsynsmail/A 24820-2026 tillsynsbegäran mail.docx", "A 24820-2026")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46218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46218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46218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46218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46218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46218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46218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46218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46218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46218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46218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46218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46218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46218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46218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40849-2021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44421</v>
      </c>
      <c r="E58" s="1" t="n">
        <v>46218</v>
      </c>
      <c r="F58" t="inlineStr">
        <is>
          <t>JÖNKÖPINGS LÄN</t>
        </is>
      </c>
      <c r="G58" t="inlineStr">
        <is>
          <t>ANEBY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46218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46218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46218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46218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55707-2022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44888</v>
      </c>
      <c r="E63" s="1" t="n">
        <v>46218</v>
      </c>
      <c r="F63" t="inlineStr">
        <is>
          <t>JÖNKÖPINGS LÄN</t>
        </is>
      </c>
      <c r="G63" t="inlineStr">
        <is>
          <t>ANEBY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26763-2022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46218</v>
      </c>
      <c r="F64" t="inlineStr">
        <is>
          <t>JÖNKÖPINGS LÄN</t>
        </is>
      </c>
      <c r="G64" t="inlineStr">
        <is>
          <t>ANEBY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26766-2022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46218</v>
      </c>
      <c r="F65" t="inlineStr">
        <is>
          <t>JÖNKÖPINGS LÄN</t>
        </is>
      </c>
      <c r="G65" t="inlineStr">
        <is>
          <t>ANEBY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26768-2022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46218</v>
      </c>
      <c r="F66" t="inlineStr">
        <is>
          <t>JÖNKÖPINGS LÄN</t>
        </is>
      </c>
      <c r="G66" t="inlineStr">
        <is>
          <t>ANEBY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44565</v>
      </c>
      <c r="E67" s="1" t="n">
        <v>46218</v>
      </c>
      <c r="F67" t="inlineStr">
        <is>
          <t>JÖNKÖPINGS LÄN</t>
        </is>
      </c>
      <c r="G67" t="inlineStr">
        <is>
          <t>ANEBY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46218</v>
      </c>
      <c r="F68" t="inlineStr">
        <is>
          <t>JÖNKÖPINGS LÄN</t>
        </is>
      </c>
      <c r="G68" t="inlineStr">
        <is>
          <t>ANEBY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46218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46218</v>
      </c>
      <c r="F70" t="inlineStr">
        <is>
          <t>JÖNKÖPINGS LÄN</t>
        </is>
      </c>
      <c r="G70" t="inlineStr">
        <is>
          <t>ANEBY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7451-2022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46218</v>
      </c>
      <c r="F71" t="inlineStr">
        <is>
          <t>JÖNKÖPINGS LÄN</t>
        </is>
      </c>
      <c r="G71" t="inlineStr">
        <is>
          <t>ANEBY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7461-2022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46218</v>
      </c>
      <c r="F72" t="inlineStr">
        <is>
          <t>JÖNKÖPINGS LÄN</t>
        </is>
      </c>
      <c r="G72" t="inlineStr">
        <is>
          <t>ANEBY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46218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46218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5186-2023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44959</v>
      </c>
      <c r="E75" s="1" t="n">
        <v>46218</v>
      </c>
      <c r="F75" t="inlineStr">
        <is>
          <t>JÖNKÖPINGS LÄN</t>
        </is>
      </c>
      <c r="G75" t="inlineStr">
        <is>
          <t>ANEBY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46218</v>
      </c>
      <c r="F76" t="inlineStr">
        <is>
          <t>JÖNKÖPINGS LÄN</t>
        </is>
      </c>
      <c r="G76" t="inlineStr">
        <is>
          <t>ANEBY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46218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55708-2022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46218</v>
      </c>
      <c r="F78" t="inlineStr">
        <is>
          <t>JÖNKÖPINGS LÄN</t>
        </is>
      </c>
      <c r="G78" t="inlineStr">
        <is>
          <t>ANEBY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46218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23354-2023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45076</v>
      </c>
      <c r="E80" s="1" t="n">
        <v>46218</v>
      </c>
      <c r="F80" t="inlineStr">
        <is>
          <t>JÖNKÖPINGS LÄN</t>
        </is>
      </c>
      <c r="G80" t="inlineStr">
        <is>
          <t>ANEBY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24784-2024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46218</v>
      </c>
      <c r="F81" t="inlineStr">
        <is>
          <t>JÖNKÖPINGS LÄN</t>
        </is>
      </c>
      <c r="G81" t="inlineStr">
        <is>
          <t>ANEBY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37343-2023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45156</v>
      </c>
      <c r="E82" s="1" t="n">
        <v>46218</v>
      </c>
      <c r="F82" t="inlineStr">
        <is>
          <t>JÖNKÖPINGS LÄN</t>
        </is>
      </c>
      <c r="G82" t="inlineStr">
        <is>
          <t>ANEBY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9880-2024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45363</v>
      </c>
      <c r="E83" s="1" t="n">
        <v>46218</v>
      </c>
      <c r="F83" t="inlineStr">
        <is>
          <t>JÖNKÖPINGS LÄN</t>
        </is>
      </c>
      <c r="G83" t="inlineStr">
        <is>
          <t>ANEBY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46218</v>
      </c>
      <c r="F84" t="inlineStr">
        <is>
          <t>JÖNKÖPINGS LÄN</t>
        </is>
      </c>
      <c r="G84" t="inlineStr">
        <is>
          <t>ANEBY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45691</v>
      </c>
      <c r="E85" s="1" t="n">
        <v>46218</v>
      </c>
      <c r="F85" t="inlineStr">
        <is>
          <t>JÖNKÖPINGS LÄN</t>
        </is>
      </c>
      <c r="G85" t="inlineStr">
        <is>
          <t>ANEBY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21355-2022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46218</v>
      </c>
      <c r="F86" t="inlineStr">
        <is>
          <t>JÖNKÖPINGS LÄN</t>
        </is>
      </c>
      <c r="G86" t="inlineStr">
        <is>
          <t>ANEBY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54415-2024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46218</v>
      </c>
      <c r="F87" t="inlineStr">
        <is>
          <t>JÖNKÖPINGS LÄN</t>
        </is>
      </c>
      <c r="G87" t="inlineStr">
        <is>
          <t>ANEBY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26498-2023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45092</v>
      </c>
      <c r="E88" s="1" t="n">
        <v>46218</v>
      </c>
      <c r="F88" t="inlineStr">
        <is>
          <t>JÖNKÖPINGS LÄN</t>
        </is>
      </c>
      <c r="G88" t="inlineStr">
        <is>
          <t>ANEBY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38794-2023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45161</v>
      </c>
      <c r="E89" s="1" t="n">
        <v>46218</v>
      </c>
      <c r="F89" t="inlineStr">
        <is>
          <t>JÖNKÖPINGS LÄN</t>
        </is>
      </c>
      <c r="G89" t="inlineStr">
        <is>
          <t>ANEBY</t>
        </is>
      </c>
      <c r="H89" t="inlineStr">
        <is>
          <t>Övriga Aktiebolag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26241-2024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46218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37683-2023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46218</v>
      </c>
      <c r="F91" t="inlineStr">
        <is>
          <t>JÖNKÖPINGS LÄN</t>
        </is>
      </c>
      <c r="G91" t="inlineStr">
        <is>
          <t>ANEBY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16306-2023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46218</v>
      </c>
      <c r="F92" t="inlineStr">
        <is>
          <t>JÖNKÖPINGS LÄN</t>
        </is>
      </c>
      <c r="G92" t="inlineStr">
        <is>
          <t>ANEBY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46218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52267-2024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46218</v>
      </c>
      <c r="F94" t="inlineStr">
        <is>
          <t>JÖNKÖPINGS LÄN</t>
        </is>
      </c>
      <c r="G94" t="inlineStr">
        <is>
          <t>ANEBY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39441-2025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46218</v>
      </c>
      <c r="F95" t="inlineStr">
        <is>
          <t>JÖNKÖPINGS LÄN</t>
        </is>
      </c>
      <c r="G95" t="inlineStr">
        <is>
          <t>ANEBY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39427-2025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46218</v>
      </c>
      <c r="F96" t="inlineStr">
        <is>
          <t>JÖNKÖPINGS LÄN</t>
        </is>
      </c>
      <c r="G96" t="inlineStr">
        <is>
          <t>ANEBY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33125-2025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45840</v>
      </c>
      <c r="E97" s="1" t="n">
        <v>46218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31938-2023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46218</v>
      </c>
      <c r="F98" t="inlineStr">
        <is>
          <t>JÖNKÖPINGS LÄN</t>
        </is>
      </c>
      <c r="G98" t="inlineStr">
        <is>
          <t>ANEBY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54095-2024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45616</v>
      </c>
      <c r="E99" s="1" t="n">
        <v>46218</v>
      </c>
      <c r="F99" t="inlineStr">
        <is>
          <t>JÖNKÖPINGS LÄN</t>
        </is>
      </c>
      <c r="G99" t="inlineStr">
        <is>
          <t>ANEBY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33048-2023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45126</v>
      </c>
      <c r="E100" s="1" t="n">
        <v>46218</v>
      </c>
      <c r="F100" t="inlineStr">
        <is>
          <t>JÖNKÖPINGS LÄN</t>
        </is>
      </c>
      <c r="G100" t="inlineStr">
        <is>
          <t>ANEBY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39694-2024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45552</v>
      </c>
      <c r="E101" s="1" t="n">
        <v>46218</v>
      </c>
      <c r="F101" t="inlineStr">
        <is>
          <t>JÖNKÖPINGS LÄN</t>
        </is>
      </c>
      <c r="G101" t="inlineStr">
        <is>
          <t>ANEBY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42795-2023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46218</v>
      </c>
      <c r="F102" t="inlineStr">
        <is>
          <t>JÖNKÖPINGS LÄN</t>
        </is>
      </c>
      <c r="G102" t="inlineStr">
        <is>
          <t>ANEBY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16679-2024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45408</v>
      </c>
      <c r="E103" s="1" t="n">
        <v>46218</v>
      </c>
      <c r="F103" t="inlineStr">
        <is>
          <t>JÖNKÖPINGS LÄN</t>
        </is>
      </c>
      <c r="G103" t="inlineStr">
        <is>
          <t>ANEBY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16960-2023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45033</v>
      </c>
      <c r="E104" s="1" t="n">
        <v>46218</v>
      </c>
      <c r="F104" t="inlineStr">
        <is>
          <t>JÖNKÖPINGS LÄN</t>
        </is>
      </c>
      <c r="G104" t="inlineStr">
        <is>
          <t>ANEBY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19362-2025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45769</v>
      </c>
      <c r="E105" s="1" t="n">
        <v>46218</v>
      </c>
      <c r="F105" t="inlineStr">
        <is>
          <t>JÖNKÖPINGS LÄN</t>
        </is>
      </c>
      <c r="G105" t="inlineStr">
        <is>
          <t>ANEBY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8772-2024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45356</v>
      </c>
      <c r="E106" s="1" t="n">
        <v>46218</v>
      </c>
      <c r="F106" t="inlineStr">
        <is>
          <t>JÖNKÖPINGS LÄN</t>
        </is>
      </c>
      <c r="G106" t="inlineStr">
        <is>
          <t>ANEBY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15091-2023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46218</v>
      </c>
      <c r="F107" t="inlineStr">
        <is>
          <t>JÖNKÖPINGS LÄN</t>
        </is>
      </c>
      <c r="G107" t="inlineStr">
        <is>
          <t>ANEBY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10017-2023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44985</v>
      </c>
      <c r="E108" s="1" t="n">
        <v>46218</v>
      </c>
      <c r="F108" t="inlineStr">
        <is>
          <t>JÖNKÖPINGS LÄN</t>
        </is>
      </c>
      <c r="G108" t="inlineStr">
        <is>
          <t>ANEBY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39685-2024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45552</v>
      </c>
      <c r="E109" s="1" t="n">
        <v>46218</v>
      </c>
      <c r="F109" t="inlineStr">
        <is>
          <t>JÖNKÖPINGS LÄN</t>
        </is>
      </c>
      <c r="G109" t="inlineStr">
        <is>
          <t>ANEBY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8811-2023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44978</v>
      </c>
      <c r="E110" s="1" t="n">
        <v>46218</v>
      </c>
      <c r="F110" t="inlineStr">
        <is>
          <t>JÖNKÖPINGS LÄN</t>
        </is>
      </c>
      <c r="G110" t="inlineStr">
        <is>
          <t>ANEBY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42071-2025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46218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11369-2024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46218</v>
      </c>
      <c r="F112" t="inlineStr">
        <is>
          <t>JÖNKÖPINGS LÄN</t>
        </is>
      </c>
      <c r="G112" t="inlineStr">
        <is>
          <t>ANEBY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45806-2023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46218</v>
      </c>
      <c r="F113" t="inlineStr">
        <is>
          <t>JÖNKÖPINGS LÄN</t>
        </is>
      </c>
      <c r="G113" t="inlineStr">
        <is>
          <t>ANEBY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32750-2023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45122</v>
      </c>
      <c r="E114" s="1" t="n">
        <v>46218</v>
      </c>
      <c r="F114" t="inlineStr">
        <is>
          <t>JÖNKÖPINGS LÄN</t>
        </is>
      </c>
      <c r="G114" t="inlineStr">
        <is>
          <t>ANEBY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19335-2025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46218</v>
      </c>
      <c r="F115" t="inlineStr">
        <is>
          <t>JÖNKÖPINGS LÄN</t>
        </is>
      </c>
      <c r="G115" t="inlineStr">
        <is>
          <t>ANEBY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55688-2022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46218</v>
      </c>
      <c r="F116" t="inlineStr">
        <is>
          <t>JÖNKÖPINGS LÄN</t>
        </is>
      </c>
      <c r="G116" t="inlineStr">
        <is>
          <t>ANEBY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46095-2022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46218</v>
      </c>
      <c r="F117" t="inlineStr">
        <is>
          <t>JÖNKÖPINGS LÄN</t>
        </is>
      </c>
      <c r="G117" t="inlineStr">
        <is>
          <t>ANEBY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12238-2024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45378</v>
      </c>
      <c r="E118" s="1" t="n">
        <v>46218</v>
      </c>
      <c r="F118" t="inlineStr">
        <is>
          <t>JÖNKÖPINGS LÄN</t>
        </is>
      </c>
      <c r="G118" t="inlineStr">
        <is>
          <t>ANEBY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10354-2024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45365</v>
      </c>
      <c r="E119" s="1" t="n">
        <v>46218</v>
      </c>
      <c r="F119" t="inlineStr">
        <is>
          <t>JÖNKÖPINGS LÄN</t>
        </is>
      </c>
      <c r="G119" t="inlineStr">
        <is>
          <t>ANEBY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44051-2024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45572</v>
      </c>
      <c r="E120" s="1" t="n">
        <v>46218</v>
      </c>
      <c r="F120" t="inlineStr">
        <is>
          <t>JÖNKÖPINGS LÄN</t>
        </is>
      </c>
      <c r="G120" t="inlineStr">
        <is>
          <t>ANEBY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56020-2021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44477</v>
      </c>
      <c r="E121" s="1" t="n">
        <v>46218</v>
      </c>
      <c r="F121" t="inlineStr">
        <is>
          <t>JÖNKÖPINGS LÄN</t>
        </is>
      </c>
      <c r="G121" t="inlineStr">
        <is>
          <t>ANEBY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11976-2023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46218</v>
      </c>
      <c r="F122" t="inlineStr">
        <is>
          <t>JÖNKÖPINGS LÄN</t>
        </is>
      </c>
      <c r="G122" t="inlineStr">
        <is>
          <t>ANEBY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8021-2025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46218</v>
      </c>
      <c r="F123" t="inlineStr">
        <is>
          <t>JÖNKÖPINGS LÄN</t>
        </is>
      </c>
      <c r="G123" t="inlineStr">
        <is>
          <t>ANEBY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42870-2025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46218</v>
      </c>
      <c r="F124" t="inlineStr">
        <is>
          <t>JÖNKÖPINGS LÄN</t>
        </is>
      </c>
      <c r="G124" t="inlineStr">
        <is>
          <t>ANEBY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43019-2025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46218</v>
      </c>
      <c r="F125" t="inlineStr">
        <is>
          <t>JÖNKÖPINGS LÄN</t>
        </is>
      </c>
      <c r="G125" t="inlineStr">
        <is>
          <t>ANEBY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43008-2025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46218</v>
      </c>
      <c r="F126" t="inlineStr">
        <is>
          <t>JÖNKÖPINGS LÄN</t>
        </is>
      </c>
      <c r="G126" t="inlineStr">
        <is>
          <t>ANEBY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40563-2024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45555</v>
      </c>
      <c r="E127" s="1" t="n">
        <v>46218</v>
      </c>
      <c r="F127" t="inlineStr">
        <is>
          <t>JÖNKÖPINGS LÄN</t>
        </is>
      </c>
      <c r="G127" t="inlineStr">
        <is>
          <t>ANEBY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19943-2025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46218</v>
      </c>
      <c r="F128" t="inlineStr">
        <is>
          <t>JÖNKÖPINGS LÄN</t>
        </is>
      </c>
      <c r="G128" t="inlineStr">
        <is>
          <t>ANEBY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16308-2023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45028</v>
      </c>
      <c r="E129" s="1" t="n">
        <v>46218</v>
      </c>
      <c r="F129" t="inlineStr">
        <is>
          <t>JÖNKÖPINGS LÄN</t>
        </is>
      </c>
      <c r="G129" t="inlineStr">
        <is>
          <t>ANEBY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43485-2023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45184</v>
      </c>
      <c r="E130" s="1" t="n">
        <v>46218</v>
      </c>
      <c r="F130" t="inlineStr">
        <is>
          <t>JÖNKÖPINGS LÄN</t>
        </is>
      </c>
      <c r="G130" t="inlineStr">
        <is>
          <t>ANEBY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43757-2025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46218</v>
      </c>
      <c r="F131" t="inlineStr">
        <is>
          <t>JÖNKÖPINGS LÄN</t>
        </is>
      </c>
      <c r="G131" t="inlineStr">
        <is>
          <t>ANEBY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43747-2025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46218</v>
      </c>
      <c r="F132" t="inlineStr">
        <is>
          <t>JÖNKÖPINGS LÄN</t>
        </is>
      </c>
      <c r="G132" t="inlineStr">
        <is>
          <t>ANEBY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43754-2025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46218</v>
      </c>
      <c r="F133" t="inlineStr">
        <is>
          <t>JÖNKÖPINGS LÄN</t>
        </is>
      </c>
      <c r="G133" t="inlineStr">
        <is>
          <t>ANEBY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43528-2025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45911</v>
      </c>
      <c r="E134" s="1" t="n">
        <v>46218</v>
      </c>
      <c r="F134" t="inlineStr">
        <is>
          <t>JÖNKÖPINGS LÄN</t>
        </is>
      </c>
      <c r="G134" t="inlineStr">
        <is>
          <t>ANEBY</t>
        </is>
      </c>
      <c r="H134" t="inlineStr">
        <is>
          <t>Övriga Aktiebolag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43746-2025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46218</v>
      </c>
      <c r="F135" t="inlineStr">
        <is>
          <t>JÖNKÖPINGS LÄN</t>
        </is>
      </c>
      <c r="G135" t="inlineStr">
        <is>
          <t>ANEBY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44957</v>
      </c>
      <c r="E136" s="1" t="n">
        <v>46218</v>
      </c>
      <c r="F136" t="inlineStr">
        <is>
          <t>JÖNKÖPINGS LÄN</t>
        </is>
      </c>
      <c r="G136" t="inlineStr">
        <is>
          <t>ANEBY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12655-2024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45384</v>
      </c>
      <c r="E137" s="1" t="n">
        <v>46218</v>
      </c>
      <c r="F137" t="inlineStr">
        <is>
          <t>JÖNKÖPINGS LÄN</t>
        </is>
      </c>
      <c r="G137" t="inlineStr">
        <is>
          <t>ANEBY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49427-2023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45205</v>
      </c>
      <c r="E138" s="1" t="n">
        <v>46218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20767-2022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46218</v>
      </c>
      <c r="F139" t="inlineStr">
        <is>
          <t>JÖNKÖPINGS LÄN</t>
        </is>
      </c>
      <c r="G139" t="inlineStr">
        <is>
          <t>ANEBY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37708-2023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45159</v>
      </c>
      <c r="E140" s="1" t="n">
        <v>46218</v>
      </c>
      <c r="F140" t="inlineStr">
        <is>
          <t>JÖNKÖPINGS LÄN</t>
        </is>
      </c>
      <c r="G140" t="inlineStr">
        <is>
          <t>ANEBY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7471-2022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44606</v>
      </c>
      <c r="E141" s="1" t="n">
        <v>46218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47125-2022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44852</v>
      </c>
      <c r="E142" s="1" t="n">
        <v>46218</v>
      </c>
      <c r="F142" t="inlineStr">
        <is>
          <t>JÖNKÖPINGS LÄN</t>
        </is>
      </c>
      <c r="G142" t="inlineStr">
        <is>
          <t>ANEBY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45665</v>
      </c>
      <c r="E143" s="1" t="n">
        <v>46218</v>
      </c>
      <c r="F143" t="inlineStr">
        <is>
          <t>JÖNKÖPINGS LÄN</t>
        </is>
      </c>
      <c r="G143" t="inlineStr">
        <is>
          <t>ANEBY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9069-2024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46218</v>
      </c>
      <c r="F144" t="inlineStr">
        <is>
          <t>JÖNKÖPINGS LÄN</t>
        </is>
      </c>
      <c r="G144" t="inlineStr">
        <is>
          <t>ANEBY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9071-2024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46218</v>
      </c>
      <c r="F145" t="inlineStr">
        <is>
          <t>JÖNKÖPINGS LÄN</t>
        </is>
      </c>
      <c r="G145" t="inlineStr">
        <is>
          <t>ANEBY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46162-2025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46218</v>
      </c>
      <c r="F146" t="inlineStr">
        <is>
          <t>JÖNKÖPINGS LÄN</t>
        </is>
      </c>
      <c r="G146" t="inlineStr">
        <is>
          <t>ANEBY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51160-2021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44461</v>
      </c>
      <c r="E147" s="1" t="n">
        <v>46218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25513-2023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46218</v>
      </c>
      <c r="F148" t="inlineStr">
        <is>
          <t>JÖNKÖPINGS LÄN</t>
        </is>
      </c>
      <c r="G148" t="inlineStr">
        <is>
          <t>ANEBY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45393</v>
      </c>
      <c r="E149" s="1" t="n">
        <v>46218</v>
      </c>
      <c r="F149" t="inlineStr">
        <is>
          <t>JÖNKÖPINGS LÄN</t>
        </is>
      </c>
      <c r="G149" t="inlineStr">
        <is>
          <t>ANEBY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12714-2023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46218</v>
      </c>
      <c r="F150" t="inlineStr">
        <is>
          <t>JÖNKÖPINGS LÄN</t>
        </is>
      </c>
      <c r="G150" t="inlineStr">
        <is>
          <t>ANEBY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10013-2023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44985</v>
      </c>
      <c r="E151" s="1" t="n">
        <v>46218</v>
      </c>
      <c r="F151" t="inlineStr">
        <is>
          <t>JÖNKÖPINGS LÄN</t>
        </is>
      </c>
      <c r="G151" t="inlineStr">
        <is>
          <t>ANEBY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9873-2024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46218</v>
      </c>
      <c r="F152" t="inlineStr">
        <is>
          <t>JÖNKÖPINGS LÄN</t>
        </is>
      </c>
      <c r="G152" t="inlineStr">
        <is>
          <t>ANEBY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23607-2024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45454</v>
      </c>
      <c r="E153" s="1" t="n">
        <v>46218</v>
      </c>
      <c r="F153" t="inlineStr">
        <is>
          <t>JÖNKÖPINGS LÄN</t>
        </is>
      </c>
      <c r="G153" t="inlineStr">
        <is>
          <t>ANEBY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21353-2022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44705</v>
      </c>
      <c r="E154" s="1" t="n">
        <v>46218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18438-2025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45762</v>
      </c>
      <c r="E155" s="1" t="n">
        <v>46218</v>
      </c>
      <c r="F155" t="inlineStr">
        <is>
          <t>JÖNKÖPINGS LÄN</t>
        </is>
      </c>
      <c r="G155" t="inlineStr">
        <is>
          <t>ANEBY</t>
        </is>
      </c>
      <c r="H155" t="inlineStr">
        <is>
          <t>Övriga Aktiebolag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703-2024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45300</v>
      </c>
      <c r="E156" s="1" t="n">
        <v>46218</v>
      </c>
      <c r="F156" t="inlineStr">
        <is>
          <t>JÖNKÖPINGS LÄN</t>
        </is>
      </c>
      <c r="G156" t="inlineStr">
        <is>
          <t>ANEBY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15835-2024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45404</v>
      </c>
      <c r="E157" s="1" t="n">
        <v>46218</v>
      </c>
      <c r="F157" t="inlineStr">
        <is>
          <t>JÖNKÖPINGS LÄN</t>
        </is>
      </c>
      <c r="G157" t="inlineStr">
        <is>
          <t>ANEBY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11565-2025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45727</v>
      </c>
      <c r="E158" s="1" t="n">
        <v>46218</v>
      </c>
      <c r="F158" t="inlineStr">
        <is>
          <t>JÖNKÖPINGS LÄN</t>
        </is>
      </c>
      <c r="G158" t="inlineStr">
        <is>
          <t>ANEBY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51331-2021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44461</v>
      </c>
      <c r="E159" s="1" t="n">
        <v>46218</v>
      </c>
      <c r="F159" t="inlineStr">
        <is>
          <t>JÖNKÖPINGS LÄN</t>
        </is>
      </c>
      <c r="G159" t="inlineStr">
        <is>
          <t>ANEBY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61946-2024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45653</v>
      </c>
      <c r="E160" s="1" t="n">
        <v>46218</v>
      </c>
      <c r="F160" t="inlineStr">
        <is>
          <t>JÖNKÖPINGS LÄN</t>
        </is>
      </c>
      <c r="G160" t="inlineStr">
        <is>
          <t>ANEBY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24901-2024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45461</v>
      </c>
      <c r="E161" s="1" t="n">
        <v>46218</v>
      </c>
      <c r="F161" t="inlineStr">
        <is>
          <t>JÖNKÖPINGS LÄN</t>
        </is>
      </c>
      <c r="G161" t="inlineStr">
        <is>
          <t>ANEBY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10360-2024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45365</v>
      </c>
      <c r="E162" s="1" t="n">
        <v>46218</v>
      </c>
      <c r="F162" t="inlineStr">
        <is>
          <t>JÖNKÖPINGS LÄN</t>
        </is>
      </c>
      <c r="G162" t="inlineStr">
        <is>
          <t>ANEBY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34780-2023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45141</v>
      </c>
      <c r="E163" s="1" t="n">
        <v>46218</v>
      </c>
      <c r="F163" t="inlineStr">
        <is>
          <t>JÖNKÖPINGS LÄN</t>
        </is>
      </c>
      <c r="G163" t="inlineStr">
        <is>
          <t>ANEBY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48728-2025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46218</v>
      </c>
      <c r="F164" t="inlineStr">
        <is>
          <t>JÖNKÖPINGS LÄN</t>
        </is>
      </c>
      <c r="G164" t="inlineStr">
        <is>
          <t>ANEBY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58354-2023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46218</v>
      </c>
      <c r="F165" t="inlineStr">
        <is>
          <t>JÖNKÖPINGS LÄN</t>
        </is>
      </c>
      <c r="G165" t="inlineStr">
        <is>
          <t>ANEBY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54692-2023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46218</v>
      </c>
      <c r="F166" t="inlineStr">
        <is>
          <t>JÖNKÖPINGS LÄN</t>
        </is>
      </c>
      <c r="G166" t="inlineStr">
        <is>
          <t>ANEBY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36690-2024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45537</v>
      </c>
      <c r="E167" s="1" t="n">
        <v>46218</v>
      </c>
      <c r="F167" t="inlineStr">
        <is>
          <t>JÖNKÖPINGS LÄN</t>
        </is>
      </c>
      <c r="G167" t="inlineStr">
        <is>
          <t>ANEBY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46218</v>
      </c>
      <c r="F168" t="inlineStr">
        <is>
          <t>JÖNKÖPINGS LÄN</t>
        </is>
      </c>
      <c r="G168" t="inlineStr">
        <is>
          <t>ANEBY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45665</v>
      </c>
      <c r="E169" s="1" t="n">
        <v>46218</v>
      </c>
      <c r="F169" t="inlineStr">
        <is>
          <t>JÖNKÖPINGS LÄN</t>
        </is>
      </c>
      <c r="G169" t="inlineStr">
        <is>
          <t>ANEBY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12548-2024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45379</v>
      </c>
      <c r="E170" s="1" t="n">
        <v>46218</v>
      </c>
      <c r="F170" t="inlineStr">
        <is>
          <t>JÖNKÖPINGS LÄN</t>
        </is>
      </c>
      <c r="G170" t="inlineStr">
        <is>
          <t>ANEBY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50069-2024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45600</v>
      </c>
      <c r="E171" s="1" t="n">
        <v>46218</v>
      </c>
      <c r="F171" t="inlineStr">
        <is>
          <t>JÖNKÖPINGS LÄN</t>
        </is>
      </c>
      <c r="G171" t="inlineStr">
        <is>
          <t>ANEBY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38873-2023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46218</v>
      </c>
      <c r="F172" t="inlineStr">
        <is>
          <t>JÖNKÖPINGS LÄN</t>
        </is>
      </c>
      <c r="G172" t="inlineStr">
        <is>
          <t>ANEBY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46218</v>
      </c>
      <c r="F173" t="inlineStr">
        <is>
          <t>JÖNKÖPINGS LÄN</t>
        </is>
      </c>
      <c r="G173" t="inlineStr">
        <is>
          <t>ANEBY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35420-2023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46218</v>
      </c>
      <c r="F174" t="inlineStr">
        <is>
          <t>JÖNKÖPINGS LÄN</t>
        </is>
      </c>
      <c r="G174" t="inlineStr">
        <is>
          <t>ANEBY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50744-2025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45946</v>
      </c>
      <c r="E175" s="1" t="n">
        <v>46218</v>
      </c>
      <c r="F175" t="inlineStr">
        <is>
          <t>JÖNKÖPINGS LÄN</t>
        </is>
      </c>
      <c r="G175" t="inlineStr">
        <is>
          <t>ANEBY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46784-2023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45198</v>
      </c>
      <c r="E176" s="1" t="n">
        <v>46218</v>
      </c>
      <c r="F176" t="inlineStr">
        <is>
          <t>JÖNKÖPINGS LÄN</t>
        </is>
      </c>
      <c r="G176" t="inlineStr">
        <is>
          <t>ANEBY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701-2024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45300</v>
      </c>
      <c r="E177" s="1" t="n">
        <v>46218</v>
      </c>
      <c r="F177" t="inlineStr">
        <is>
          <t>JÖNKÖPINGS LÄN</t>
        </is>
      </c>
      <c r="G177" t="inlineStr">
        <is>
          <t>ANEBY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26769-2022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46218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17380-2022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44678</v>
      </c>
      <c r="E179" s="1" t="n">
        <v>46218</v>
      </c>
      <c r="F179" t="inlineStr">
        <is>
          <t>JÖNKÖPINGS LÄN</t>
        </is>
      </c>
      <c r="G179" t="inlineStr">
        <is>
          <t>ANEBY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43291-2023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45183</v>
      </c>
      <c r="E180" s="1" t="n">
        <v>46218</v>
      </c>
      <c r="F180" t="inlineStr">
        <is>
          <t>JÖNKÖPINGS LÄN</t>
        </is>
      </c>
      <c r="G180" t="inlineStr">
        <is>
          <t>ANEBY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1474-2024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45304</v>
      </c>
      <c r="E181" s="1" t="n">
        <v>46218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20568-2025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46218</v>
      </c>
      <c r="F182" t="inlineStr">
        <is>
          <t>JÖNKÖPINGS LÄN</t>
        </is>
      </c>
      <c r="G182" t="inlineStr">
        <is>
          <t>ANEBY</t>
        </is>
      </c>
      <c r="H182" t="inlineStr">
        <is>
          <t>Kyrkan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17082-2024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45412</v>
      </c>
      <c r="E183" s="1" t="n">
        <v>46218</v>
      </c>
      <c r="F183" t="inlineStr">
        <is>
          <t>JÖNKÖPINGS LÄN</t>
        </is>
      </c>
      <c r="G183" t="inlineStr">
        <is>
          <t>ANEBY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9066-2024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46218</v>
      </c>
      <c r="F184" t="inlineStr">
        <is>
          <t>JÖNKÖPINGS LÄN</t>
        </is>
      </c>
      <c r="G184" t="inlineStr">
        <is>
          <t>ANEBY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51684-2025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46218</v>
      </c>
      <c r="F185" t="inlineStr">
        <is>
          <t>JÖNKÖPINGS LÄN</t>
        </is>
      </c>
      <c r="G185" t="inlineStr">
        <is>
          <t>ANEBY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27714-2024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45475</v>
      </c>
      <c r="E186" s="1" t="n">
        <v>46218</v>
      </c>
      <c r="F186" t="inlineStr">
        <is>
          <t>JÖNKÖPINGS LÄN</t>
        </is>
      </c>
      <c r="G186" t="inlineStr">
        <is>
          <t>ANEBY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12834-2023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46218</v>
      </c>
      <c r="F187" t="inlineStr">
        <is>
          <t>JÖNKÖPINGS LÄN</t>
        </is>
      </c>
      <c r="G187" t="inlineStr">
        <is>
          <t>ANEBY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52718-2025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46218</v>
      </c>
      <c r="F188" t="inlineStr">
        <is>
          <t>JÖNKÖPINGS LÄN</t>
        </is>
      </c>
      <c r="G188" t="inlineStr">
        <is>
          <t>ANEBY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35417-2023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46218</v>
      </c>
      <c r="F189" t="inlineStr">
        <is>
          <t>JÖNKÖPINGS LÄN</t>
        </is>
      </c>
      <c r="G189" t="inlineStr">
        <is>
          <t>ANEBY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61005-2024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46218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6305-2025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46218</v>
      </c>
      <c r="F191" t="inlineStr">
        <is>
          <t>JÖNKÖPINGS LÄN</t>
        </is>
      </c>
      <c r="G191" t="inlineStr">
        <is>
          <t>ANEBY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40017-2024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46218</v>
      </c>
      <c r="F192" t="inlineStr">
        <is>
          <t>JÖNKÖPINGS LÄN</t>
        </is>
      </c>
      <c r="G192" t="inlineStr">
        <is>
          <t>ANEBY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47325-2024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46218</v>
      </c>
      <c r="F193" t="inlineStr">
        <is>
          <t>JÖNKÖPINGS LÄN</t>
        </is>
      </c>
      <c r="G193" t="inlineStr">
        <is>
          <t>ANEBY</t>
        </is>
      </c>
      <c r="H193" t="inlineStr">
        <is>
          <t>Övriga Aktiebolag</t>
        </is>
      </c>
      <c r="I193" t="n">
        <v>18.6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47330-2024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45586</v>
      </c>
      <c r="E194" s="1" t="n">
        <v>46218</v>
      </c>
      <c r="F194" t="inlineStr">
        <is>
          <t>JÖNKÖPINGS LÄN</t>
        </is>
      </c>
      <c r="G194" t="inlineStr">
        <is>
          <t>ANEBY</t>
        </is>
      </c>
      <c r="H194" t="inlineStr">
        <is>
          <t>Övriga Aktiebolag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49133-2022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44860</v>
      </c>
      <c r="E195" s="1" t="n">
        <v>46218</v>
      </c>
      <c r="F195" t="inlineStr">
        <is>
          <t>JÖNKÖPINGS LÄN</t>
        </is>
      </c>
      <c r="G195" t="inlineStr">
        <is>
          <t>ANEBY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11346-2024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46218</v>
      </c>
      <c r="F196" t="inlineStr">
        <is>
          <t>JÖNKÖPINGS LÄN</t>
        </is>
      </c>
      <c r="G196" t="inlineStr">
        <is>
          <t>ANEBY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9070-2024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45357</v>
      </c>
      <c r="E197" s="1" t="n">
        <v>46218</v>
      </c>
      <c r="F197" t="inlineStr">
        <is>
          <t>JÖNKÖPINGS LÄN</t>
        </is>
      </c>
      <c r="G197" t="inlineStr">
        <is>
          <t>ANEBY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44952</v>
      </c>
      <c r="E198" s="1" t="n">
        <v>46218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7945-2025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46218</v>
      </c>
      <c r="F199" t="inlineStr">
        <is>
          <t>JÖNKÖPINGS LÄN</t>
        </is>
      </c>
      <c r="G199" t="inlineStr">
        <is>
          <t>ANEBY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73166-2021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46218</v>
      </c>
      <c r="F200" t="inlineStr">
        <is>
          <t>JÖNKÖPINGS LÄN</t>
        </is>
      </c>
      <c r="G200" t="inlineStr">
        <is>
          <t>ANEBY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57174-2021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44482</v>
      </c>
      <c r="E201" s="1" t="n">
        <v>46218</v>
      </c>
      <c r="F201" t="inlineStr">
        <is>
          <t>JÖNKÖPINGS LÄN</t>
        </is>
      </c>
      <c r="G201" t="inlineStr">
        <is>
          <t>ANEBY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10463-2022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44623</v>
      </c>
      <c r="E202" s="1" t="n">
        <v>46218</v>
      </c>
      <c r="F202" t="inlineStr">
        <is>
          <t>JÖNKÖPINGS LÄN</t>
        </is>
      </c>
      <c r="G202" t="inlineStr">
        <is>
          <t>ANEBY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15481-2023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45020</v>
      </c>
      <c r="E203" s="1" t="n">
        <v>46218</v>
      </c>
      <c r="F203" t="inlineStr">
        <is>
          <t>JÖNKÖPINGS LÄN</t>
        </is>
      </c>
      <c r="G203" t="inlineStr">
        <is>
          <t>ANEBY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23349-2023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45076</v>
      </c>
      <c r="E204" s="1" t="n">
        <v>46218</v>
      </c>
      <c r="F204" t="inlineStr">
        <is>
          <t>JÖNKÖPINGS LÄN</t>
        </is>
      </c>
      <c r="G204" t="inlineStr">
        <is>
          <t>ANEBY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9193-2024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45358</v>
      </c>
      <c r="E205" s="1" t="n">
        <v>46218</v>
      </c>
      <c r="F205" t="inlineStr">
        <is>
          <t>JÖNKÖPINGS LÄN</t>
        </is>
      </c>
      <c r="G205" t="inlineStr">
        <is>
          <t>ANEBY</t>
        </is>
      </c>
      <c r="H205" t="inlineStr">
        <is>
          <t>Sveaskog</t>
        </is>
      </c>
      <c r="I205" t="n">
        <v>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46218</v>
      </c>
      <c r="F206" t="inlineStr">
        <is>
          <t>JÖNKÖPINGS LÄN</t>
        </is>
      </c>
      <c r="G206" t="inlineStr">
        <is>
          <t>ANEBY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48999-2024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46218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14329-2024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46218</v>
      </c>
      <c r="F208" t="inlineStr">
        <is>
          <t>JÖNKÖPINGS LÄN</t>
        </is>
      </c>
      <c r="G208" t="inlineStr">
        <is>
          <t>ANEBY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53570-2025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46218</v>
      </c>
      <c r="F209" t="inlineStr">
        <is>
          <t>JÖNKÖPINGS LÄN</t>
        </is>
      </c>
      <c r="G209" t="inlineStr">
        <is>
          <t>ANEBY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47118-2023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45201</v>
      </c>
      <c r="E210" s="1" t="n">
        <v>46218</v>
      </c>
      <c r="F210" t="inlineStr">
        <is>
          <t>JÖNKÖPINGS LÄN</t>
        </is>
      </c>
      <c r="G210" t="inlineStr">
        <is>
          <t>ANEBY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14901-2024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45398</v>
      </c>
      <c r="E211" s="1" t="n">
        <v>46218</v>
      </c>
      <c r="F211" t="inlineStr">
        <is>
          <t>JÖNKÖPINGS LÄN</t>
        </is>
      </c>
      <c r="G211" t="inlineStr">
        <is>
          <t>ANEBY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25963-2024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45467</v>
      </c>
      <c r="E212" s="1" t="n">
        <v>46218</v>
      </c>
      <c r="F212" t="inlineStr">
        <is>
          <t>JÖNKÖPINGS LÄN</t>
        </is>
      </c>
      <c r="G212" t="inlineStr">
        <is>
          <t>ANEBY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  <c r="X212">
        <f>HYPERLINK("https://klasma.github.io/Logging_0604/knärot/A 25963-2024 karta knärot.png", "A 25963-2024")</f>
        <v/>
      </c>
      <c r="Y212">
        <f>HYPERLINK("https://klasma.github.io/Logging_0604/klagomål/A 25963-2024 FSC-klagomål.docx", "A 25963-2024")</f>
        <v/>
      </c>
      <c r="Z212">
        <f>HYPERLINK("https://klasma.github.io/Logging_0604/klagomålsmail/A 25963-2024 FSC-klagomål mail.docx", "A 25963-2024")</f>
        <v/>
      </c>
      <c r="AA212">
        <f>HYPERLINK("https://klasma.github.io/Logging_0604/tillsyn/A 25963-2024 tillsynsbegäran.docx", "A 25963-2024")</f>
        <v/>
      </c>
      <c r="AB212">
        <f>HYPERLINK("https://klasma.github.io/Logging_0604/tillsynsmail/A 25963-2024 tillsynsbegäran mail.docx", "A 25963-2024")</f>
        <v/>
      </c>
    </row>
    <row r="213" ht="15" customHeight="1">
      <c r="A213" t="inlineStr">
        <is>
          <t>A 21812-2023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46218</v>
      </c>
      <c r="F213" t="inlineStr">
        <is>
          <t>JÖNKÖPINGS LÄN</t>
        </is>
      </c>
      <c r="G213" t="inlineStr">
        <is>
          <t>ANEBY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16957-2023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45033</v>
      </c>
      <c r="E214" s="1" t="n">
        <v>46218</v>
      </c>
      <c r="F214" t="inlineStr">
        <is>
          <t>JÖNKÖPINGS LÄN</t>
        </is>
      </c>
      <c r="G214" t="inlineStr">
        <is>
          <t>ANEBY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23715-2023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45077</v>
      </c>
      <c r="E215" s="1" t="n">
        <v>46218</v>
      </c>
      <c r="F215" t="inlineStr">
        <is>
          <t>JÖNKÖPINGS LÄN</t>
        </is>
      </c>
      <c r="G215" t="inlineStr">
        <is>
          <t>ANEBY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23716-2023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46218</v>
      </c>
      <c r="F216" t="inlineStr">
        <is>
          <t>JÖNKÖPINGS LÄN</t>
        </is>
      </c>
      <c r="G216" t="inlineStr">
        <is>
          <t>ANEBY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23966-2025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45796</v>
      </c>
      <c r="E217" s="1" t="n">
        <v>46218</v>
      </c>
      <c r="F217" t="inlineStr">
        <is>
          <t>JÖNKÖPINGS LÄN</t>
        </is>
      </c>
      <c r="G217" t="inlineStr">
        <is>
          <t>ANEBY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51677-2025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46218</v>
      </c>
      <c r="F218" t="inlineStr">
        <is>
          <t>JÖNKÖPINGS LÄN</t>
        </is>
      </c>
      <c r="G218" t="inlineStr">
        <is>
          <t>ANEBY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54998-2025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45967</v>
      </c>
      <c r="E219" s="1" t="n">
        <v>46218</v>
      </c>
      <c r="F219" t="inlineStr">
        <is>
          <t>JÖNKÖPINGS LÄN</t>
        </is>
      </c>
      <c r="G219" t="inlineStr">
        <is>
          <t>ANEBY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54911-2025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45967</v>
      </c>
      <c r="E220" s="1" t="n">
        <v>46218</v>
      </c>
      <c r="F220" t="inlineStr">
        <is>
          <t>JÖNKÖPINGS LÄN</t>
        </is>
      </c>
      <c r="G220" t="inlineStr">
        <is>
          <t>ANEBY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37690-2023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46218</v>
      </c>
      <c r="F221" t="inlineStr">
        <is>
          <t>JÖNKÖPINGS LÄN</t>
        </is>
      </c>
      <c r="G221" t="inlineStr">
        <is>
          <t>ANEBY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9068-2024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45357</v>
      </c>
      <c r="E222" s="1" t="n">
        <v>46218</v>
      </c>
      <c r="F222" t="inlineStr">
        <is>
          <t>JÖNKÖPINGS LÄN</t>
        </is>
      </c>
      <c r="G222" t="inlineStr">
        <is>
          <t>ANEBY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35555-2024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46218</v>
      </c>
      <c r="F223" t="inlineStr">
        <is>
          <t>JÖNKÖPINGS LÄN</t>
        </is>
      </c>
      <c r="G223" t="inlineStr">
        <is>
          <t>ANEBY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52790-2024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45610</v>
      </c>
      <c r="E224" s="1" t="n">
        <v>46218</v>
      </c>
      <c r="F224" t="inlineStr">
        <is>
          <t>JÖNKÖPINGS LÄN</t>
        </is>
      </c>
      <c r="G224" t="inlineStr">
        <is>
          <t>ANEBY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25103-2023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45086</v>
      </c>
      <c r="E225" s="1" t="n">
        <v>46218</v>
      </c>
      <c r="F225" t="inlineStr">
        <is>
          <t>JÖNKÖPINGS LÄN</t>
        </is>
      </c>
      <c r="G225" t="inlineStr">
        <is>
          <t>ANEBY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23557-2022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44721</v>
      </c>
      <c r="E226" s="1" t="n">
        <v>46218</v>
      </c>
      <c r="F226" t="inlineStr">
        <is>
          <t>JÖNKÖPINGS LÄN</t>
        </is>
      </c>
      <c r="G226" t="inlineStr">
        <is>
          <t>ANEBY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54213-2024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45616</v>
      </c>
      <c r="E227" s="1" t="n">
        <v>46218</v>
      </c>
      <c r="F227" t="inlineStr">
        <is>
          <t>JÖNKÖPINGS LÄN</t>
        </is>
      </c>
      <c r="G227" t="inlineStr">
        <is>
          <t>ANEBY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32891-2023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45124</v>
      </c>
      <c r="E228" s="1" t="n">
        <v>46218</v>
      </c>
      <c r="F228" t="inlineStr">
        <is>
          <t>JÖNKÖPINGS LÄN</t>
        </is>
      </c>
      <c r="G228" t="inlineStr">
        <is>
          <t>ANEBY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57170-2021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44482</v>
      </c>
      <c r="E229" s="1" t="n">
        <v>46218</v>
      </c>
      <c r="F229" t="inlineStr">
        <is>
          <t>JÖNKÖPINGS LÄN</t>
        </is>
      </c>
      <c r="G229" t="inlineStr">
        <is>
          <t>ANEBY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27205-2025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45812</v>
      </c>
      <c r="E230" s="1" t="n">
        <v>46218</v>
      </c>
      <c r="F230" t="inlineStr">
        <is>
          <t>JÖNKÖPINGS LÄN</t>
        </is>
      </c>
      <c r="G230" t="inlineStr">
        <is>
          <t>ANEBY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35773-2023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45148</v>
      </c>
      <c r="E231" s="1" t="n">
        <v>46218</v>
      </c>
      <c r="F231" t="inlineStr">
        <is>
          <t>JÖNKÖPINGS LÄN</t>
        </is>
      </c>
      <c r="G231" t="inlineStr">
        <is>
          <t>ANEBY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56735-2021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46218</v>
      </c>
      <c r="F232" t="inlineStr">
        <is>
          <t>JÖNKÖPINGS LÄN</t>
        </is>
      </c>
      <c r="G232" t="inlineStr">
        <is>
          <t>ANEBY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9541-2024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46218</v>
      </c>
      <c r="F233" t="inlineStr">
        <is>
          <t>JÖNKÖPINGS LÄN</t>
        </is>
      </c>
      <c r="G233" t="inlineStr">
        <is>
          <t>ANEBY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20219-2025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46218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28543-2025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46218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56812-2025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45978</v>
      </c>
      <c r="E236" s="1" t="n">
        <v>46218</v>
      </c>
      <c r="F236" t="inlineStr">
        <is>
          <t>JÖNKÖPINGS LÄN</t>
        </is>
      </c>
      <c r="G236" t="inlineStr">
        <is>
          <t>ANEBY</t>
        </is>
      </c>
      <c r="H236" t="inlineStr">
        <is>
          <t>Övriga Aktiebolag</t>
        </is>
      </c>
      <c r="I236" t="n">
        <v>19.6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16095-2025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46218</v>
      </c>
      <c r="F237" t="inlineStr">
        <is>
          <t>JÖNKÖPINGS LÄN</t>
        </is>
      </c>
      <c r="G237" t="inlineStr">
        <is>
          <t>ANEBY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46218</v>
      </c>
      <c r="F238" t="inlineStr">
        <is>
          <t>JÖNKÖPINGS LÄN</t>
        </is>
      </c>
      <c r="G238" t="inlineStr">
        <is>
          <t>ANEBY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45316</v>
      </c>
      <c r="E239" s="1" t="n">
        <v>46218</v>
      </c>
      <c r="F239" t="inlineStr">
        <is>
          <t>JÖNKÖPINGS LÄN</t>
        </is>
      </c>
      <c r="G239" t="inlineStr">
        <is>
          <t>ANEBY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57501-2025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46218</v>
      </c>
      <c r="F240" t="inlineStr">
        <is>
          <t>JÖNKÖPINGS LÄN</t>
        </is>
      </c>
      <c r="G240" t="inlineStr">
        <is>
          <t>ANEBY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6512-2023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46218</v>
      </c>
      <c r="F241" t="inlineStr">
        <is>
          <t>JÖNKÖPINGS LÄN</t>
        </is>
      </c>
      <c r="G241" t="inlineStr">
        <is>
          <t>ANEBY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57504-2025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46218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58123-2025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45982</v>
      </c>
      <c r="E243" s="1" t="n">
        <v>46218</v>
      </c>
      <c r="F243" t="inlineStr">
        <is>
          <t>JÖNKÖPINGS LÄN</t>
        </is>
      </c>
      <c r="G243" t="inlineStr">
        <is>
          <t>ANEBY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43613-2023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45184</v>
      </c>
      <c r="E244" s="1" t="n">
        <v>46218</v>
      </c>
      <c r="F244" t="inlineStr">
        <is>
          <t>JÖNKÖPINGS LÄN</t>
        </is>
      </c>
      <c r="G244" t="inlineStr">
        <is>
          <t>ANEBY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29469-2025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45824</v>
      </c>
      <c r="E245" s="1" t="n">
        <v>46218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16.8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12477-2023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44999</v>
      </c>
      <c r="E246" s="1" t="n">
        <v>46218</v>
      </c>
      <c r="F246" t="inlineStr">
        <is>
          <t>JÖNKÖPINGS LÄN</t>
        </is>
      </c>
      <c r="G246" t="inlineStr">
        <is>
          <t>ANEBY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46218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45665</v>
      </c>
      <c r="E248" s="1" t="n">
        <v>46218</v>
      </c>
      <c r="F248" t="inlineStr">
        <is>
          <t>JÖNKÖPINGS LÄN</t>
        </is>
      </c>
      <c r="G248" t="inlineStr">
        <is>
          <t>ANEBY</t>
        </is>
      </c>
      <c r="H248" t="inlineStr">
        <is>
          <t>Sveaskog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31087-2025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46218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41144-2021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44423</v>
      </c>
      <c r="E250" s="1" t="n">
        <v>46218</v>
      </c>
      <c r="F250" t="inlineStr">
        <is>
          <t>JÖNKÖPINGS LÄN</t>
        </is>
      </c>
      <c r="G250" t="inlineStr">
        <is>
          <t>ANEBY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46126-2025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46218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4836-2023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44957</v>
      </c>
      <c r="E252" s="1" t="n">
        <v>46218</v>
      </c>
      <c r="F252" t="inlineStr">
        <is>
          <t>JÖNKÖPINGS LÄN</t>
        </is>
      </c>
      <c r="G252" t="inlineStr">
        <is>
          <t>ANEBY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32554-2025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46218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63624-2023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46218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45688</v>
      </c>
      <c r="E255" s="1" t="n">
        <v>46218</v>
      </c>
      <c r="F255" t="inlineStr">
        <is>
          <t>JÖNKÖPINGS LÄN</t>
        </is>
      </c>
      <c r="G255" t="inlineStr">
        <is>
          <t>ANEBY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25894-2026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46176</v>
      </c>
      <c r="E256" s="1" t="n">
        <v>46218</v>
      </c>
      <c r="F256" t="inlineStr">
        <is>
          <t>JÖNKÖPINGS LÄN</t>
        </is>
      </c>
      <c r="G256" t="inlineStr">
        <is>
          <t>ANEBY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6930-2024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45343</v>
      </c>
      <c r="E257" s="1" t="n">
        <v>46218</v>
      </c>
      <c r="F257" t="inlineStr">
        <is>
          <t>JÖNKÖPINGS LÄN</t>
        </is>
      </c>
      <c r="G257" t="inlineStr">
        <is>
          <t>ANEBY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25897-2026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46218</v>
      </c>
      <c r="F258" t="inlineStr">
        <is>
          <t>JÖNKÖPINGS LÄN</t>
        </is>
      </c>
      <c r="G258" t="inlineStr">
        <is>
          <t>ANEBY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32768-2025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45839</v>
      </c>
      <c r="E259" s="1" t="n">
        <v>46218</v>
      </c>
      <c r="F259" t="inlineStr">
        <is>
          <t>JÖNKÖPINGS LÄN</t>
        </is>
      </c>
      <c r="G259" t="inlineStr">
        <is>
          <t>ANEBY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45304</v>
      </c>
      <c r="E260" s="1" t="n">
        <v>46218</v>
      </c>
      <c r="F260" t="inlineStr">
        <is>
          <t>JÖNKÖPINGS LÄN</t>
        </is>
      </c>
      <c r="G260" t="inlineStr">
        <is>
          <t>ANEBY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44578</v>
      </c>
      <c r="E261" s="1" t="n">
        <v>46218</v>
      </c>
      <c r="F261" t="inlineStr">
        <is>
          <t>JÖNKÖPINGS LÄN</t>
        </is>
      </c>
      <c r="G261" t="inlineStr">
        <is>
          <t>ANEBY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26236-2024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45468</v>
      </c>
      <c r="E262" s="1" t="n">
        <v>46218</v>
      </c>
      <c r="F262" t="inlineStr">
        <is>
          <t>JÖNKÖPINGS LÄN</t>
        </is>
      </c>
      <c r="G262" t="inlineStr">
        <is>
          <t>ANEBY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60094-2025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45993</v>
      </c>
      <c r="E263" s="1" t="n">
        <v>46218</v>
      </c>
      <c r="F263" t="inlineStr">
        <is>
          <t>JÖNKÖPINGS LÄN</t>
        </is>
      </c>
      <c r="G263" t="inlineStr">
        <is>
          <t>ANEBY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48524-2024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46218</v>
      </c>
      <c r="F264" t="inlineStr">
        <is>
          <t>JÖNKÖPINGS LÄN</t>
        </is>
      </c>
      <c r="G264" t="inlineStr">
        <is>
          <t>ANEBY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56333-2022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44890</v>
      </c>
      <c r="E265" s="1" t="n">
        <v>46218</v>
      </c>
      <c r="F265" t="inlineStr">
        <is>
          <t>JÖNKÖPINGS LÄN</t>
        </is>
      </c>
      <c r="G265" t="inlineStr">
        <is>
          <t>ANEBY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56339-2022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44890</v>
      </c>
      <c r="E266" s="1" t="n">
        <v>46218</v>
      </c>
      <c r="F266" t="inlineStr">
        <is>
          <t>JÖNKÖPINGS LÄN</t>
        </is>
      </c>
      <c r="G266" t="inlineStr">
        <is>
          <t>ANEBY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10155-2024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45364</v>
      </c>
      <c r="E267" s="1" t="n">
        <v>46218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14235-2023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45009</v>
      </c>
      <c r="E268" s="1" t="n">
        <v>46218</v>
      </c>
      <c r="F268" t="inlineStr">
        <is>
          <t>JÖNKÖPINGS LÄN</t>
        </is>
      </c>
      <c r="G268" t="inlineStr">
        <is>
          <t>ANEBY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61296-2025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46218</v>
      </c>
      <c r="F269" t="inlineStr">
        <is>
          <t>JÖNKÖPINGS LÄN</t>
        </is>
      </c>
      <c r="G269" t="inlineStr">
        <is>
          <t>ANEBY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14338-2024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45393</v>
      </c>
      <c r="E270" s="1" t="n">
        <v>46218</v>
      </c>
      <c r="F270" t="inlineStr">
        <is>
          <t>JÖNKÖPINGS LÄN</t>
        </is>
      </c>
      <c r="G270" t="inlineStr">
        <is>
          <t>ANEBY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49398-2022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44859</v>
      </c>
      <c r="E271" s="1" t="n">
        <v>46218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61295-2025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46218</v>
      </c>
      <c r="F272" t="inlineStr">
        <is>
          <t>JÖNKÖPINGS LÄN</t>
        </is>
      </c>
      <c r="G272" t="inlineStr">
        <is>
          <t>ANEBY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18552-2025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46218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47409-2022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44851</v>
      </c>
      <c r="E274" s="1" t="n">
        <v>46218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61297-2025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46218</v>
      </c>
      <c r="F275" t="inlineStr">
        <is>
          <t>JÖNKÖPINGS LÄN</t>
        </is>
      </c>
      <c r="G275" t="inlineStr">
        <is>
          <t>ANEBY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62090-2025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46218</v>
      </c>
      <c r="F276" t="inlineStr">
        <is>
          <t>JÖNKÖPINGS LÄN</t>
        </is>
      </c>
      <c r="G276" t="inlineStr">
        <is>
          <t>ANEBY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11353-2024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46218</v>
      </c>
      <c r="F277" t="inlineStr">
        <is>
          <t>JÖNKÖPINGS LÄN</t>
        </is>
      </c>
      <c r="G277" t="inlineStr">
        <is>
          <t>ANEBY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62095-2025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46218</v>
      </c>
      <c r="F278" t="inlineStr">
        <is>
          <t>JÖNKÖPINGS LÄN</t>
        </is>
      </c>
      <c r="G278" t="inlineStr">
        <is>
          <t>ANEBY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9917-2022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44620</v>
      </c>
      <c r="E279" s="1" t="n">
        <v>46218</v>
      </c>
      <c r="F279" t="inlineStr">
        <is>
          <t>JÖNKÖPINGS LÄN</t>
        </is>
      </c>
      <c r="G279" t="inlineStr">
        <is>
          <t>ANEBY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21356-2026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46147</v>
      </c>
      <c r="E280" s="1" t="n">
        <v>46218</v>
      </c>
      <c r="F280" t="inlineStr">
        <is>
          <t>JÖNKÖPINGS LÄN</t>
        </is>
      </c>
      <c r="G280" t="inlineStr">
        <is>
          <t>ANEBY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10456-2023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44981</v>
      </c>
      <c r="E281" s="1" t="n">
        <v>46218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27136-2026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46218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12533-2024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45379</v>
      </c>
      <c r="E283" s="1" t="n">
        <v>46218</v>
      </c>
      <c r="F283" t="inlineStr">
        <is>
          <t>JÖNKÖPINGS LÄN</t>
        </is>
      </c>
      <c r="G283" t="inlineStr">
        <is>
          <t>ANEBY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27356-2026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46218</v>
      </c>
      <c r="F284" t="inlineStr">
        <is>
          <t>JÖNKÖPINGS LÄN</t>
        </is>
      </c>
      <c r="G284" t="inlineStr">
        <is>
          <t>ANEBY</t>
        </is>
      </c>
      <c r="I284" t="n">
        <v>17.9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27357-2026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46218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27526-2026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46218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27527-2026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46218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33051-2023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45126</v>
      </c>
      <c r="E288" s="1" t="n">
        <v>46218</v>
      </c>
      <c r="F288" t="inlineStr">
        <is>
          <t>JÖNKÖPINGS LÄN</t>
        </is>
      </c>
      <c r="G288" t="inlineStr">
        <is>
          <t>ANEBY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51185-2021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44461</v>
      </c>
      <c r="E289" s="1" t="n">
        <v>46218</v>
      </c>
      <c r="F289" t="inlineStr">
        <is>
          <t>JÖNKÖPINGS LÄN</t>
        </is>
      </c>
      <c r="G289" t="inlineStr">
        <is>
          <t>ANEBY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63901-2025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46020</v>
      </c>
      <c r="E290" s="1" t="n">
        <v>46218</v>
      </c>
      <c r="F290" t="inlineStr">
        <is>
          <t>JÖNKÖPINGS LÄN</t>
        </is>
      </c>
      <c r="G290" t="inlineStr">
        <is>
          <t>ANEBY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63992-2025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46021</v>
      </c>
      <c r="E291" s="1" t="n">
        <v>46218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27528-2026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46218</v>
      </c>
      <c r="F292" t="inlineStr">
        <is>
          <t>JÖNKÖPINGS LÄN</t>
        </is>
      </c>
      <c r="G292" t="inlineStr">
        <is>
          <t>ANEBY</t>
        </is>
      </c>
      <c r="H292" t="inlineStr">
        <is>
          <t>Övriga Aktiebolag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63991-2025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46021</v>
      </c>
      <c r="E293" s="1" t="n">
        <v>46218</v>
      </c>
      <c r="F293" t="inlineStr">
        <is>
          <t>JÖNKÖPINGS LÄN</t>
        </is>
      </c>
      <c r="G293" t="inlineStr">
        <is>
          <t>ANEBY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27994-2026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46218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16506-2022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44671</v>
      </c>
      <c r="E295" s="1" t="n">
        <v>46218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27997-2026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46218</v>
      </c>
      <c r="F296" t="inlineStr">
        <is>
          <t>JÖNKÖPINGS LÄN</t>
        </is>
      </c>
      <c r="G296" t="inlineStr">
        <is>
          <t>ANEBY</t>
        </is>
      </c>
      <c r="H296" t="inlineStr">
        <is>
          <t>Kyrkan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46218</v>
      </c>
      <c r="F297" t="inlineStr">
        <is>
          <t>JÖNKÖPINGS LÄN</t>
        </is>
      </c>
      <c r="G297" t="inlineStr">
        <is>
          <t>ANEBY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8846-2024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46218</v>
      </c>
      <c r="F298" t="inlineStr">
        <is>
          <t>JÖNKÖPINGS LÄN</t>
        </is>
      </c>
      <c r="G298" t="inlineStr">
        <is>
          <t>ANEBY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10355-2024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46218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10357-2024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46218</v>
      </c>
      <c r="F300" t="inlineStr">
        <is>
          <t>JÖNKÖPINGS LÄN</t>
        </is>
      </c>
      <c r="G300" t="inlineStr">
        <is>
          <t>ANEBY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1955-2026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46218</v>
      </c>
      <c r="F301" t="inlineStr">
        <is>
          <t>JÖNKÖPINGS LÄN</t>
        </is>
      </c>
      <c r="G301" t="inlineStr">
        <is>
          <t>ANEBY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30028-2023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46218</v>
      </c>
      <c r="F302" t="inlineStr">
        <is>
          <t>JÖNKÖPINGS LÄN</t>
        </is>
      </c>
      <c r="G302" t="inlineStr">
        <is>
          <t>ANEBY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28232-2026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46218</v>
      </c>
      <c r="F303" t="inlineStr">
        <is>
          <t>JÖNKÖPINGS LÄN</t>
        </is>
      </c>
      <c r="G303" t="inlineStr">
        <is>
          <t>ANEBY</t>
        </is>
      </c>
      <c r="H303" t="inlineStr">
        <is>
          <t>Kyrkan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10302-2024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46218</v>
      </c>
      <c r="F304" t="inlineStr">
        <is>
          <t>JÖNKÖPINGS LÄN</t>
        </is>
      </c>
      <c r="G304" t="inlineStr">
        <is>
          <t>ANEBY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4318-2026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46218</v>
      </c>
      <c r="F305" t="inlineStr">
        <is>
          <t>JÖNKÖPINGS LÄN</t>
        </is>
      </c>
      <c r="G305" t="inlineStr">
        <is>
          <t>ANEBY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46218</v>
      </c>
      <c r="F306" t="inlineStr">
        <is>
          <t>JÖNKÖPINGS LÄN</t>
        </is>
      </c>
      <c r="G306" t="inlineStr">
        <is>
          <t>ANEBY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17027-2023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46218</v>
      </c>
      <c r="F307" t="inlineStr">
        <is>
          <t>JÖNKÖPINGS LÄN</t>
        </is>
      </c>
      <c r="G307" t="inlineStr">
        <is>
          <t>ANEBY</t>
        </is>
      </c>
      <c r="H307" t="inlineStr">
        <is>
          <t>Kyrkan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46218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67414-2021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46218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16928-2023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45033</v>
      </c>
      <c r="E310" s="1" t="n">
        <v>46218</v>
      </c>
      <c r="F310" t="inlineStr">
        <is>
          <t>JÖNKÖPINGS LÄN</t>
        </is>
      </c>
      <c r="G310" t="inlineStr">
        <is>
          <t>ANEBY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5719-2026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46051</v>
      </c>
      <c r="E311" s="1" t="n">
        <v>46218</v>
      </c>
      <c r="F311" t="inlineStr">
        <is>
          <t>JÖNKÖPINGS LÄN</t>
        </is>
      </c>
      <c r="G311" t="inlineStr">
        <is>
          <t>ANEBY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56804-2025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46218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59507-2022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44900</v>
      </c>
      <c r="E313" s="1" t="n">
        <v>46218</v>
      </c>
      <c r="F313" t="inlineStr">
        <is>
          <t>JÖNKÖPINGS LÄN</t>
        </is>
      </c>
      <c r="G313" t="inlineStr">
        <is>
          <t>ANEBY</t>
        </is>
      </c>
      <c r="H313" t="inlineStr">
        <is>
          <t>Övriga Aktiebolag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21026-2024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45439</v>
      </c>
      <c r="E314" s="1" t="n">
        <v>46218</v>
      </c>
      <c r="F314" t="inlineStr">
        <is>
          <t>JÖNKÖPINGS LÄN</t>
        </is>
      </c>
      <c r="G314" t="inlineStr">
        <is>
          <t>ANEBY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46783-2023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46218</v>
      </c>
      <c r="F315" t="inlineStr">
        <is>
          <t>JÖNKÖPINGS LÄN</t>
        </is>
      </c>
      <c r="G315" t="inlineStr">
        <is>
          <t>ANEBY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6638-2026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46218</v>
      </c>
      <c r="F316" t="inlineStr">
        <is>
          <t>JÖNKÖPINGS LÄN</t>
        </is>
      </c>
      <c r="G316" t="inlineStr">
        <is>
          <t>ANEBY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6827-2026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46057</v>
      </c>
      <c r="E317" s="1" t="n">
        <v>46218</v>
      </c>
      <c r="F317" t="inlineStr">
        <is>
          <t>JÖNKÖPINGS LÄN</t>
        </is>
      </c>
      <c r="G317" t="inlineStr">
        <is>
          <t>ANEBY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6863-2026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46057</v>
      </c>
      <c r="E318" s="1" t="n">
        <v>46218</v>
      </c>
      <c r="F318" t="inlineStr">
        <is>
          <t>JÖNKÖPINGS LÄN</t>
        </is>
      </c>
      <c r="G318" t="inlineStr">
        <is>
          <t>ANEBY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46218</v>
      </c>
      <c r="F319" t="inlineStr">
        <is>
          <t>JÖNKÖPINGS LÄN</t>
        </is>
      </c>
      <c r="G319" t="inlineStr">
        <is>
          <t>ANEBY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6873-2026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46057</v>
      </c>
      <c r="E320" s="1" t="n">
        <v>46218</v>
      </c>
      <c r="F320" t="inlineStr">
        <is>
          <t>JÖNKÖPINGS LÄN</t>
        </is>
      </c>
      <c r="G320" t="inlineStr">
        <is>
          <t>ANEBY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7263-2026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46058</v>
      </c>
      <c r="E321" s="1" t="n">
        <v>46218</v>
      </c>
      <c r="F321" t="inlineStr">
        <is>
          <t>JÖNKÖPINGS LÄN</t>
        </is>
      </c>
      <c r="G321" t="inlineStr">
        <is>
          <t>ANEBY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7514-2026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46218</v>
      </c>
      <c r="F322" t="inlineStr">
        <is>
          <t>JÖNKÖPINGS LÄN</t>
        </is>
      </c>
      <c r="G322" t="inlineStr">
        <is>
          <t>ANEBY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7266-2026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46058</v>
      </c>
      <c r="E323" s="1" t="n">
        <v>46218</v>
      </c>
      <c r="F323" t="inlineStr">
        <is>
          <t>JÖNKÖPINGS LÄN</t>
        </is>
      </c>
      <c r="G323" t="inlineStr">
        <is>
          <t>ANEBY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8338-2026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46218</v>
      </c>
      <c r="F324" t="inlineStr">
        <is>
          <t>JÖNKÖPINGS LÄN</t>
        </is>
      </c>
      <c r="G324" t="inlineStr">
        <is>
          <t>ANEBY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23858-2026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46218</v>
      </c>
      <c r="F325" t="inlineStr">
        <is>
          <t>JÖNKÖPINGS LÄN</t>
        </is>
      </c>
      <c r="G325" t="inlineStr">
        <is>
          <t>ANEBY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9891-2026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46073</v>
      </c>
      <c r="E326" s="1" t="n">
        <v>46218</v>
      </c>
      <c r="F326" t="inlineStr">
        <is>
          <t>JÖNKÖPINGS LÄN</t>
        </is>
      </c>
      <c r="G326" t="inlineStr">
        <is>
          <t>ANEBY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10162-2026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46218</v>
      </c>
      <c r="F327" t="inlineStr">
        <is>
          <t>JÖNKÖPINGS LÄN</t>
        </is>
      </c>
      <c r="G327" t="inlineStr">
        <is>
          <t>ANEBY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11618-2026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46218</v>
      </c>
      <c r="F328" t="inlineStr">
        <is>
          <t>JÖNKÖPINGS LÄN</t>
        </is>
      </c>
      <c r="G328" t="inlineStr">
        <is>
          <t>ANEBY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46780-2023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46218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24447-2026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46218</v>
      </c>
      <c r="F330" t="inlineStr">
        <is>
          <t>JÖNKÖPINGS LÄN</t>
        </is>
      </c>
      <c r="G330" t="inlineStr">
        <is>
          <t>ANEBY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12576-2026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46090</v>
      </c>
      <c r="E331" s="1" t="n">
        <v>46218</v>
      </c>
      <c r="F331" t="inlineStr">
        <is>
          <t>JÖNKÖPINGS LÄN</t>
        </is>
      </c>
      <c r="G331" t="inlineStr">
        <is>
          <t>ANEBY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24672-2026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46218</v>
      </c>
      <c r="F332" t="inlineStr">
        <is>
          <t>JÖNKÖPINGS LÄN</t>
        </is>
      </c>
      <c r="G332" t="inlineStr">
        <is>
          <t>ANEBY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31043-2026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46214</v>
      </c>
      <c r="E333" s="1" t="n">
        <v>46218</v>
      </c>
      <c r="F333" t="inlineStr">
        <is>
          <t>JÖNKÖPINGS LÄN</t>
        </is>
      </c>
      <c r="G333" t="inlineStr">
        <is>
          <t>ANEBY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31044-2026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46214</v>
      </c>
      <c r="E334" s="1" t="n">
        <v>46218</v>
      </c>
      <c r="F334" t="inlineStr">
        <is>
          <t>JÖNKÖPINGS LÄN</t>
        </is>
      </c>
      <c r="G334" t="inlineStr">
        <is>
          <t>ANEBY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13038-2026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46218</v>
      </c>
      <c r="F335" t="inlineStr">
        <is>
          <t>JÖNKÖPINGS LÄN</t>
        </is>
      </c>
      <c r="G335" t="inlineStr">
        <is>
          <t>ANEBY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31045-2026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46214</v>
      </c>
      <c r="E336" s="1" t="n">
        <v>46218</v>
      </c>
      <c r="F336" t="inlineStr">
        <is>
          <t>JÖNKÖPINGS LÄN</t>
        </is>
      </c>
      <c r="G336" t="inlineStr">
        <is>
          <t>ANEBY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14003-2026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46098</v>
      </c>
      <c r="E337" s="1" t="n">
        <v>46218</v>
      </c>
      <c r="F337" t="inlineStr">
        <is>
          <t>JÖNKÖPINGS LÄN</t>
        </is>
      </c>
      <c r="G337" t="inlineStr">
        <is>
          <t>ANEBY</t>
        </is>
      </c>
      <c r="H337" t="inlineStr">
        <is>
          <t>Övriga Aktiebolag</t>
        </is>
      </c>
      <c r="I337" t="n">
        <v>20.7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37135-2024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45539</v>
      </c>
      <c r="E338" s="1" t="n">
        <v>46218</v>
      </c>
      <c r="F338" t="inlineStr">
        <is>
          <t>JÖNKÖPINGS LÄN</t>
        </is>
      </c>
      <c r="G338" t="inlineStr">
        <is>
          <t>ANEBY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14824-2026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46218</v>
      </c>
      <c r="F339" t="inlineStr">
        <is>
          <t>JÖNKÖPINGS LÄN</t>
        </is>
      </c>
      <c r="G339" t="inlineStr">
        <is>
          <t>ANEBY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14822-2026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46218</v>
      </c>
      <c r="F340" t="inlineStr">
        <is>
          <t>JÖNKÖPINGS LÄN</t>
        </is>
      </c>
      <c r="G340" t="inlineStr">
        <is>
          <t>ANEBY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15170-2026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46218</v>
      </c>
      <c r="F341" t="inlineStr">
        <is>
          <t>JÖNKÖPINGS LÄN</t>
        </is>
      </c>
      <c r="G341" t="inlineStr">
        <is>
          <t>ANEBY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15195-2026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46218</v>
      </c>
      <c r="F342" t="inlineStr">
        <is>
          <t>JÖNKÖPINGS LÄN</t>
        </is>
      </c>
      <c r="G342" t="inlineStr">
        <is>
          <t>ANEBY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15187-2026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46218</v>
      </c>
      <c r="F343" t="inlineStr">
        <is>
          <t>JÖNKÖPINGS LÄN</t>
        </is>
      </c>
      <c r="G343" t="inlineStr">
        <is>
          <t>ANEBY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18142-2026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46218</v>
      </c>
      <c r="F344" t="inlineStr">
        <is>
          <t>JÖNKÖPINGS LÄN</t>
        </is>
      </c>
      <c r="G344" t="inlineStr">
        <is>
          <t>ANEBY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18147-2026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46125</v>
      </c>
      <c r="E345" s="1" t="n">
        <v>46218</v>
      </c>
      <c r="F345" t="inlineStr">
        <is>
          <t>JÖNKÖPINGS LÄN</t>
        </is>
      </c>
      <c r="G345" t="inlineStr">
        <is>
          <t>ANEBY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46218</v>
      </c>
      <c r="F346" t="inlineStr">
        <is>
          <t>JÖNKÖPINGS LÄN</t>
        </is>
      </c>
      <c r="G346" t="inlineStr">
        <is>
          <t>ANEBY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46218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46218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46218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46218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46218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46218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46218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46218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46218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46218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46218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46218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46218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46218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2026-07-15T01:26:58Z</dcterms:created>
  <dcterms:modified xmlns:dcterms="http://purl.org/dc/terms/" xmlns:xsi="http://www.w3.org/2001/XMLSchema-instance" xsi:type="dcterms:W3CDTF">2026-07-15T01:26:58Z</dcterms:modified>
</cp:coreProperties>
</file>