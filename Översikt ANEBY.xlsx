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46305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46305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46305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46305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46305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46305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46305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46305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46305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46305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46305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46305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46305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46305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46305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46305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46305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46305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46305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46305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46305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46305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46305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46305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46305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46305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46305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46305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46305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46305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46305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46305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46305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28452-2022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44747</v>
      </c>
      <c r="E39" s="1" t="n">
        <v>46305</v>
      </c>
      <c r="F39" t="inlineStr">
        <is>
          <t>JÖNKÖPINGS LÄN</t>
        </is>
      </c>
      <c r="G39" t="inlineStr">
        <is>
          <t>ANEBY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Odontocerum albicorne</t>
        </is>
      </c>
      <c r="W39">
        <f>HYPERLINK("https://klasma.github.io/Logging_0604/artfynd/A 28452-2022 artfynd.xlsx", "A 28452-2022")</f>
        <v/>
      </c>
      <c r="X39">
        <f>HYPERLINK("https://klasma.github.io/Logging_0604/kartor/A 28452-2022 karta.png", "A 28452-2022")</f>
        <v/>
      </c>
      <c r="Y39">
        <f>HYPERLINK("https://klasma.github.io/Logging_0604/kartor_geotiff/A 28452-2022 georefererad karta.tif", "A 28452-2022")</f>
        <v/>
      </c>
      <c r="AA39">
        <f>HYPERLINK("https://klasma.github.io/Logging_0604/klagomål/A 28452-2022 FSC-klagomål.docx", "A 28452-2022")</f>
        <v/>
      </c>
      <c r="AB39">
        <f>HYPERLINK("https://klasma.github.io/Logging_0604/klagomålsmail/A 28452-2022 FSC-klagomål mail.docx", "A 28452-2022")</f>
        <v/>
      </c>
      <c r="AC39">
        <f>HYPERLINK("https://klasma.github.io/Logging_0604/tillsyn/A 28452-2022 tillsynsbegäran.docx", "A 28452-2022")</f>
        <v/>
      </c>
      <c r="AD39">
        <f>HYPERLINK("https://klasma.github.io/Logging_0604/tillsynsmail/A 28452-2022 tillsynsbegäran mail.docx", "A 28452-2022")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46305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46305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46305</v>
      </c>
      <c r="F42" t="inlineStr">
        <is>
          <t>JÖNKÖPINGS LÄN</t>
        </is>
      </c>
      <c r="G42" t="inlineStr">
        <is>
          <t>ANEBY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HYPERLINK("https://klasma.github.io/Logging_0604/artfynd/A 412-2022 artfynd.xlsx", "A 412-2022")</f>
        <v/>
      </c>
      <c r="X42">
        <f>HYPERLINK("https://klasma.github.io/Logging_0604/kartor/A 412-2022 karta.png", "A 412-2022")</f>
        <v/>
      </c>
      <c r="Y42">
        <f>HYPERLINK("https://klasma.github.io/Logging_0604/kartor_geotiff/A 412-2022 georefererad karta.tif", "A 412-2022")</f>
        <v/>
      </c>
      <c r="AA42">
        <f>HYPERLINK("https://klasma.github.io/Logging_0604/klagomål/A 412-2022 FSC-klagomål.docx", "A 412-2022")</f>
        <v/>
      </c>
      <c r="AB42">
        <f>HYPERLINK("https://klasma.github.io/Logging_0604/klagomålsmail/A 412-2022 FSC-klagomål mail.docx", "A 412-2022")</f>
        <v/>
      </c>
      <c r="AC42">
        <f>HYPERLINK("https://klasma.github.io/Logging_0604/tillsyn/A 412-2022 tillsynsbegäran.docx", "A 412-2022")</f>
        <v/>
      </c>
      <c r="AD42">
        <f>HYPERLINK("https://klasma.github.io/Logging_0604/tillsynsmail/A 412-2022 tillsynsbegäran mail.docx", "A 412-2022")</f>
        <v/>
      </c>
    </row>
    <row r="43" ht="15" customHeight="1">
      <c r="A43" t="inlineStr">
        <is>
          <t>A 53251-2023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46305</v>
      </c>
      <c r="F43" t="inlineStr">
        <is>
          <t>JÖNKÖPINGS LÄN</t>
        </is>
      </c>
      <c r="G43" t="inlineStr">
        <is>
          <t>ANEBY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HYPERLINK("https://klasma.github.io/Logging_0604/artfynd/A 53251-2023 artfynd.xlsx", "A 53251-2023")</f>
        <v/>
      </c>
      <c r="X43">
        <f>HYPERLINK("https://klasma.github.io/Logging_0604/kartor/A 53251-2023 karta.png", "A 53251-2023")</f>
        <v/>
      </c>
      <c r="Y43">
        <f>HYPERLINK("https://klasma.github.io/Logging_0604/kartor_geotiff/A 53251-2023 georefererad karta.tif", "A 53251-2023")</f>
        <v/>
      </c>
      <c r="AA43">
        <f>HYPERLINK("https://klasma.github.io/Logging_0604/klagomål/A 53251-2023 FSC-klagomål.docx", "A 53251-2023")</f>
        <v/>
      </c>
      <c r="AB43">
        <f>HYPERLINK("https://klasma.github.io/Logging_0604/klagomålsmail/A 53251-2023 FSC-klagomål mail.docx", "A 53251-2023")</f>
        <v/>
      </c>
      <c r="AC43">
        <f>HYPERLINK("https://klasma.github.io/Logging_0604/tillsyn/A 53251-2023 tillsynsbegäran.docx", "A 53251-2023")</f>
        <v/>
      </c>
      <c r="AD43">
        <f>HYPERLINK("https://klasma.github.io/Logging_0604/tillsynsmail/A 53251-2023 tillsynsbegäran mail.docx", "A 53251-2023")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46305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24820-2026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46305</v>
      </c>
      <c r="F45" t="inlineStr">
        <is>
          <t>JÖNKÖPINGS LÄN</t>
        </is>
      </c>
      <c r="G45" t="inlineStr">
        <is>
          <t>ANEBY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Grönvit nattviol</t>
        </is>
      </c>
      <c r="W45">
        <f>HYPERLINK("https://klasma.github.io/Logging_0604/artfynd/A 24820-2026 artfynd.xlsx", "A 24820-2026")</f>
        <v/>
      </c>
      <c r="X45">
        <f>HYPERLINK("https://klasma.github.io/Logging_0604/kartor/A 24820-2026 karta.png", "A 24820-2026")</f>
        <v/>
      </c>
      <c r="Y45">
        <f>HYPERLINK("https://klasma.github.io/Logging_0604/kartor_geotiff/A 24820-2026 georefererad karta.tif", "A 24820-2026")</f>
        <v/>
      </c>
      <c r="AA45">
        <f>HYPERLINK("https://klasma.github.io/Logging_0604/klagomål/A 24820-2026 FSC-klagomål.docx", "A 24820-2026")</f>
        <v/>
      </c>
      <c r="AB45">
        <f>HYPERLINK("https://klasma.github.io/Logging_0604/klagomålsmail/A 24820-2026 FSC-klagomål mail.docx", "A 24820-2026")</f>
        <v/>
      </c>
      <c r="AC45">
        <f>HYPERLINK("https://klasma.github.io/Logging_0604/tillsyn/A 24820-2026 tillsynsbegäran.docx", "A 24820-2026")</f>
        <v/>
      </c>
      <c r="AD45">
        <f>HYPERLINK("https://klasma.github.io/Logging_0604/tillsynsmail/A 24820-2026 tillsynsbegäran mail.docx", "A 24820-2026")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46305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46305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46305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46305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46305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46305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46305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46305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46305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46305</v>
      </c>
      <c r="F56" t="inlineStr">
        <is>
          <t>JÖNKÖPINGS LÄN</t>
        </is>
      </c>
      <c r="G56" t="inlineStr">
        <is>
          <t>ANEBY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46305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46305</v>
      </c>
      <c r="F58" t="inlineStr">
        <is>
          <t>JÖNKÖPINGS LÄN</t>
        </is>
      </c>
      <c r="G58" t="inlineStr">
        <is>
          <t>ANEBY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46305</v>
      </c>
      <c r="F59" t="inlineStr">
        <is>
          <t>JÖNKÖPINGS LÄN</t>
        </is>
      </c>
      <c r="G59" t="inlineStr">
        <is>
          <t>ANEBY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46305</v>
      </c>
      <c r="F60" t="inlineStr">
        <is>
          <t>JÖNKÖPINGS LÄN</t>
        </is>
      </c>
      <c r="G60" t="inlineStr">
        <is>
          <t>ANEBY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46305</v>
      </c>
      <c r="F61" t="inlineStr">
        <is>
          <t>JÖNKÖPINGS LÄN</t>
        </is>
      </c>
      <c r="G61" t="inlineStr">
        <is>
          <t>ANEBY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46305</v>
      </c>
      <c r="F62" t="inlineStr">
        <is>
          <t>JÖNKÖPINGS LÄN</t>
        </is>
      </c>
      <c r="G62" t="inlineStr">
        <is>
          <t>ANEBY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46305</v>
      </c>
      <c r="F63" t="inlineStr">
        <is>
          <t>JÖNKÖPINGS LÄN</t>
        </is>
      </c>
      <c r="G63" t="inlineStr">
        <is>
          <t>ANEBY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46305</v>
      </c>
      <c r="F64" t="inlineStr">
        <is>
          <t>JÖNKÖPINGS LÄN</t>
        </is>
      </c>
      <c r="G64" t="inlineStr">
        <is>
          <t>ANEBY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46305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46305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46305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46305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46305</v>
      </c>
      <c r="F69" t="inlineStr">
        <is>
          <t>JÖNKÖPINGS LÄN</t>
        </is>
      </c>
      <c r="G69" t="inlineStr">
        <is>
          <t>ANEBY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46305</v>
      </c>
      <c r="F70" t="inlineStr">
        <is>
          <t>JÖNKÖPINGS LÄN</t>
        </is>
      </c>
      <c r="G70" t="inlineStr">
        <is>
          <t>ANEBY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46305</v>
      </c>
      <c r="F71" t="inlineStr">
        <is>
          <t>JÖNKÖPINGS LÄN</t>
        </is>
      </c>
      <c r="G71" t="inlineStr">
        <is>
          <t>ANEBY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46305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46305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46305</v>
      </c>
      <c r="F74" t="inlineStr">
        <is>
          <t>JÖNKÖPINGS LÄN</t>
        </is>
      </c>
      <c r="G74" t="inlineStr">
        <is>
          <t>ANEBY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46305</v>
      </c>
      <c r="F75" t="inlineStr">
        <is>
          <t>JÖNKÖPINGS LÄN</t>
        </is>
      </c>
      <c r="G75" t="inlineStr">
        <is>
          <t>ANEBY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49427-2023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45205</v>
      </c>
      <c r="E76" s="1" t="n">
        <v>46305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46305</v>
      </c>
      <c r="F77" t="inlineStr">
        <is>
          <t>JÖNKÖPINGS LÄN</t>
        </is>
      </c>
      <c r="G77" t="inlineStr">
        <is>
          <t>ANEBY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46305</v>
      </c>
      <c r="F78" t="inlineStr">
        <is>
          <t>JÖNKÖPINGS LÄN</t>
        </is>
      </c>
      <c r="G78" t="inlineStr">
        <is>
          <t>ANEBY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46305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10456-2023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44981</v>
      </c>
      <c r="E80" s="1" t="n">
        <v>46305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46305</v>
      </c>
      <c r="F81" t="inlineStr">
        <is>
          <t>JÖNKÖPINGS LÄN</t>
        </is>
      </c>
      <c r="G81" t="inlineStr">
        <is>
          <t>ANEBY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45033</v>
      </c>
      <c r="E82" s="1" t="n">
        <v>46305</v>
      </c>
      <c r="F82" t="inlineStr">
        <is>
          <t>JÖNKÖPINGS LÄN</t>
        </is>
      </c>
      <c r="G82" t="inlineStr">
        <is>
          <t>ANEBY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46305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46305</v>
      </c>
      <c r="F84" t="inlineStr">
        <is>
          <t>JÖNKÖPINGS LÄN</t>
        </is>
      </c>
      <c r="G84" t="inlineStr">
        <is>
          <t>ANEBY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46305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46305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46305</v>
      </c>
      <c r="F87" t="inlineStr">
        <is>
          <t>JÖNKÖPINGS LÄN</t>
        </is>
      </c>
      <c r="G87" t="inlineStr">
        <is>
          <t>ANEBY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46305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46305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46305</v>
      </c>
      <c r="F90" t="inlineStr">
        <is>
          <t>JÖNKÖPINGS LÄN</t>
        </is>
      </c>
      <c r="G90" t="inlineStr">
        <is>
          <t>ANEBY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46305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46305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59507-2022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44900</v>
      </c>
      <c r="E93" s="1" t="n">
        <v>46305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46305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45077</v>
      </c>
      <c r="E95" s="1" t="n">
        <v>46305</v>
      </c>
      <c r="F95" t="inlineStr">
        <is>
          <t>JÖNKÖPINGS LÄN</t>
        </is>
      </c>
      <c r="G95" t="inlineStr">
        <is>
          <t>ANEBY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46305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44481</v>
      </c>
      <c r="E97" s="1" t="n">
        <v>46305</v>
      </c>
      <c r="F97" t="inlineStr">
        <is>
          <t>JÖNKÖPINGS LÄN</t>
        </is>
      </c>
      <c r="G97" t="inlineStr">
        <is>
          <t>ANEBY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46305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46305</v>
      </c>
      <c r="F99" t="inlineStr">
        <is>
          <t>JÖNKÖPINGS LÄN</t>
        </is>
      </c>
      <c r="G99" t="inlineStr">
        <is>
          <t>ANEBY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46305</v>
      </c>
      <c r="F100" t="inlineStr">
        <is>
          <t>JÖNKÖPINGS LÄN</t>
        </is>
      </c>
      <c r="G100" t="inlineStr">
        <is>
          <t>ANEBY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46305</v>
      </c>
      <c r="F101" t="inlineStr">
        <is>
          <t>JÖNKÖPINGS LÄN</t>
        </is>
      </c>
      <c r="G101" t="inlineStr">
        <is>
          <t>ANEBY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46305</v>
      </c>
      <c r="F102" t="inlineStr">
        <is>
          <t>JÖNKÖPINGS LÄN</t>
        </is>
      </c>
      <c r="G102" t="inlineStr">
        <is>
          <t>ANEBY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46305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46305</v>
      </c>
      <c r="F104" t="inlineStr">
        <is>
          <t>JÖNKÖPINGS LÄN</t>
        </is>
      </c>
      <c r="G104" t="inlineStr">
        <is>
          <t>ANEBY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45461</v>
      </c>
      <c r="E105" s="1" t="n">
        <v>46305</v>
      </c>
      <c r="F105" t="inlineStr">
        <is>
          <t>JÖNKÖPINGS LÄN</t>
        </is>
      </c>
      <c r="G105" t="inlineStr">
        <is>
          <t>ANEBY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45122</v>
      </c>
      <c r="E106" s="1" t="n">
        <v>46305</v>
      </c>
      <c r="F106" t="inlineStr">
        <is>
          <t>JÖNKÖPINGS LÄN</t>
        </is>
      </c>
      <c r="G106" t="inlineStr">
        <is>
          <t>ANEBY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49133-2022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44860</v>
      </c>
      <c r="E107" s="1" t="n">
        <v>46305</v>
      </c>
      <c r="F107" t="inlineStr">
        <is>
          <t>JÖNKÖPINGS LÄN</t>
        </is>
      </c>
      <c r="G107" t="inlineStr">
        <is>
          <t>ANEBY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45378</v>
      </c>
      <c r="E108" s="1" t="n">
        <v>46305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44705</v>
      </c>
      <c r="E109" s="1" t="n">
        <v>46305</v>
      </c>
      <c r="F109" t="inlineStr">
        <is>
          <t>JÖNKÖPINGS LÄN</t>
        </is>
      </c>
      <c r="G109" t="inlineStr">
        <is>
          <t>ANEBY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45033</v>
      </c>
      <c r="E110" s="1" t="n">
        <v>46305</v>
      </c>
      <c r="F110" t="inlineStr">
        <is>
          <t>JÖNKÖPINGS LÄN</t>
        </is>
      </c>
      <c r="G110" t="inlineStr">
        <is>
          <t>ANEBY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46305</v>
      </c>
      <c r="F111" t="inlineStr">
        <is>
          <t>JÖNKÖPINGS LÄN</t>
        </is>
      </c>
      <c r="G111" t="inlineStr">
        <is>
          <t>ANEBY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46305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46305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46305</v>
      </c>
      <c r="F114" t="inlineStr">
        <is>
          <t>JÖNKÖPINGS LÄN</t>
        </is>
      </c>
      <c r="G114" t="inlineStr">
        <is>
          <t>ANEBY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46305</v>
      </c>
      <c r="F115" t="inlineStr">
        <is>
          <t>JÖNKÖPINGS LÄN</t>
        </is>
      </c>
      <c r="G115" t="inlineStr">
        <is>
          <t>ANEBY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45412</v>
      </c>
      <c r="E116" s="1" t="n">
        <v>46305</v>
      </c>
      <c r="F116" t="inlineStr">
        <is>
          <t>JÖNKÖPINGS LÄN</t>
        </is>
      </c>
      <c r="G116" t="inlineStr">
        <is>
          <t>ANEBY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46305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46305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46305</v>
      </c>
      <c r="F119" t="inlineStr">
        <is>
          <t>JÖNKÖPINGS LÄN</t>
        </is>
      </c>
      <c r="G119" t="inlineStr">
        <is>
          <t>ANEBY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46305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46305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46305</v>
      </c>
      <c r="F122" t="inlineStr">
        <is>
          <t>JÖNKÖPINGS LÄN</t>
        </is>
      </c>
      <c r="G122" t="inlineStr">
        <is>
          <t>ANEBY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46305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46305</v>
      </c>
      <c r="F124" t="inlineStr">
        <is>
          <t>JÖNKÖPINGS LÄN</t>
        </is>
      </c>
      <c r="G124" t="inlineStr">
        <is>
          <t>ANEBY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46305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46305</v>
      </c>
      <c r="F126" t="inlineStr">
        <is>
          <t>JÖNKÖPINGS LÄN</t>
        </is>
      </c>
      <c r="G126" t="inlineStr">
        <is>
          <t>ANEBY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46305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46305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46305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46305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46305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46305</v>
      </c>
      <c r="F132" t="inlineStr">
        <is>
          <t>JÖNKÖPINGS LÄN</t>
        </is>
      </c>
      <c r="G132" t="inlineStr">
        <is>
          <t>ANEBY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HYPERLINK("https://klasma.github.io/Logging_0604/knärot/A 25963-2024 karta knärot.png", "A 25963-2024")</f>
        <v/>
      </c>
      <c r="AA132">
        <f>HYPERLINK("https://klasma.github.io/Logging_0604/klagomål/A 25963-2024 FSC-klagomål.docx", "A 25963-2024")</f>
        <v/>
      </c>
      <c r="AB132">
        <f>HYPERLINK("https://klasma.github.io/Logging_0604/klagomålsmail/A 25963-2024 FSC-klagomål mail.docx", "A 25963-2024")</f>
        <v/>
      </c>
      <c r="AC132">
        <f>HYPERLINK("https://klasma.github.io/Logging_0604/tillsyn/A 25963-2024 tillsynsbegäran.docx", "A 25963-2024")</f>
        <v/>
      </c>
      <c r="AD132">
        <f>HYPERLINK("https://klasma.github.io/Logging_0604/tillsynsmail/A 25963-2024 tillsynsbegäran mail.docx", "A 25963-2024")</f>
        <v/>
      </c>
    </row>
    <row r="133" ht="15" customHeight="1">
      <c r="A133" t="inlineStr">
        <is>
          <t>A 37343-2023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45156</v>
      </c>
      <c r="E133" s="1" t="n">
        <v>46305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45304</v>
      </c>
      <c r="E134" s="1" t="n">
        <v>46305</v>
      </c>
      <c r="F134" t="inlineStr">
        <is>
          <t>JÖNKÖPINGS LÄN</t>
        </is>
      </c>
      <c r="G134" t="inlineStr">
        <is>
          <t>ANEBY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46305</v>
      </c>
      <c r="F135" t="inlineStr">
        <is>
          <t>JÖNKÖPINGS LÄN</t>
        </is>
      </c>
      <c r="G135" t="inlineStr">
        <is>
          <t>ANEBY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46305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38794-2023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45161</v>
      </c>
      <c r="E137" s="1" t="n">
        <v>46305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46305</v>
      </c>
      <c r="F138" t="inlineStr">
        <is>
          <t>JÖNKÖPINGS LÄN</t>
        </is>
      </c>
      <c r="G138" t="inlineStr">
        <is>
          <t>ANEBY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46305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46305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46305</v>
      </c>
      <c r="F141" t="inlineStr">
        <is>
          <t>JÖNKÖPINGS LÄN</t>
        </is>
      </c>
      <c r="G141" t="inlineStr">
        <is>
          <t>ANEBY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46305</v>
      </c>
      <c r="F142" t="inlineStr">
        <is>
          <t>JÖNKÖPINGS LÄN</t>
        </is>
      </c>
      <c r="G142" t="inlineStr">
        <is>
          <t>ANEBY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45468</v>
      </c>
      <c r="E143" s="1" t="n">
        <v>46305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46305</v>
      </c>
      <c r="F144" t="inlineStr">
        <is>
          <t>JÖNKÖPINGS LÄN</t>
        </is>
      </c>
      <c r="G144" t="inlineStr">
        <is>
          <t>ANEBY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46305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46305</v>
      </c>
      <c r="F146" t="inlineStr">
        <is>
          <t>JÖNKÖPINGS LÄN</t>
        </is>
      </c>
      <c r="G146" t="inlineStr">
        <is>
          <t>ANEBY</t>
        </is>
      </c>
      <c r="H146" t="inlineStr">
        <is>
          <t>Kyrkan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46305</v>
      </c>
      <c r="F147" t="inlineStr">
        <is>
          <t>JÖNKÖPINGS LÄN</t>
        </is>
      </c>
      <c r="G147" t="inlineStr">
        <is>
          <t>ANEBY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46305</v>
      </c>
      <c r="F148" t="inlineStr">
        <is>
          <t>JÖNKÖPINGS LÄN</t>
        </is>
      </c>
      <c r="G148" t="inlineStr">
        <is>
          <t>ANEBY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46305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46305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45911</v>
      </c>
      <c r="E151" s="1" t="n">
        <v>46305</v>
      </c>
      <c r="F151" t="inlineStr">
        <is>
          <t>JÖNKÖPINGS LÄN</t>
        </is>
      </c>
      <c r="G151" t="inlineStr">
        <is>
          <t>ANEBY</t>
        </is>
      </c>
      <c r="H151" t="inlineStr">
        <is>
          <t>Övriga Aktiebolag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46305</v>
      </c>
      <c r="F152" t="inlineStr">
        <is>
          <t>JÖNKÖPINGS LÄN</t>
        </is>
      </c>
      <c r="G152" t="inlineStr">
        <is>
          <t>ANEBY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46305</v>
      </c>
      <c r="F153" t="inlineStr">
        <is>
          <t>JÖNKÖPINGS LÄN</t>
        </is>
      </c>
      <c r="G153" t="inlineStr">
        <is>
          <t>ANEBY</t>
        </is>
      </c>
      <c r="H153" t="inlineStr">
        <is>
          <t>Övriga Aktiebolag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46305</v>
      </c>
      <c r="F154" t="inlineStr">
        <is>
          <t>JÖNKÖPINGS LÄN</t>
        </is>
      </c>
      <c r="G154" t="inlineStr">
        <is>
          <t>ANEBY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46305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12477-2023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44999</v>
      </c>
      <c r="E156" s="1" t="n">
        <v>46305</v>
      </c>
      <c r="F156" t="inlineStr">
        <is>
          <t>JÖNKÖPINGS LÄN</t>
        </is>
      </c>
      <c r="G156" t="inlineStr">
        <is>
          <t>ANEBY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50069-2024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45600</v>
      </c>
      <c r="E157" s="1" t="n">
        <v>46305</v>
      </c>
      <c r="F157" t="inlineStr">
        <is>
          <t>JÖNKÖPINGS LÄN</t>
        </is>
      </c>
      <c r="G157" t="inlineStr">
        <is>
          <t>ANEBY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46305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54213-2024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45616</v>
      </c>
      <c r="E159" s="1" t="n">
        <v>46305</v>
      </c>
      <c r="F159" t="inlineStr">
        <is>
          <t>JÖNKÖPINGS LÄN</t>
        </is>
      </c>
      <c r="G159" t="inlineStr">
        <is>
          <t>ANEBY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46305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46305</v>
      </c>
      <c r="F161" t="inlineStr">
        <is>
          <t>JÖNKÖPINGS LÄN</t>
        </is>
      </c>
      <c r="G161" t="inlineStr">
        <is>
          <t>ANEBY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46305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46305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46305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46305</v>
      </c>
      <c r="F165" t="inlineStr">
        <is>
          <t>JÖNKÖPINGS LÄN</t>
        </is>
      </c>
      <c r="G165" t="inlineStr">
        <is>
          <t>ANEBY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45124</v>
      </c>
      <c r="E166" s="1" t="n">
        <v>46305</v>
      </c>
      <c r="F166" t="inlineStr">
        <is>
          <t>JÖNKÖPINGS LÄN</t>
        </is>
      </c>
      <c r="G166" t="inlineStr">
        <is>
          <t>ANEBY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46305</v>
      </c>
      <c r="F167" t="inlineStr">
        <is>
          <t>JÖNKÖPINGS LÄN</t>
        </is>
      </c>
      <c r="G167" t="inlineStr">
        <is>
          <t>ANEBY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46305</v>
      </c>
      <c r="F168" t="inlineStr">
        <is>
          <t>JÖNKÖPINGS LÄN</t>
        </is>
      </c>
      <c r="G168" t="inlineStr">
        <is>
          <t>ANEBY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46305</v>
      </c>
      <c r="F169" t="inlineStr">
        <is>
          <t>JÖNKÖPINGS LÄN</t>
        </is>
      </c>
      <c r="G169" t="inlineStr">
        <is>
          <t>ANEBY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45126</v>
      </c>
      <c r="E170" s="1" t="n">
        <v>46305</v>
      </c>
      <c r="F170" t="inlineStr">
        <is>
          <t>JÖNKÖPINGS LÄN</t>
        </is>
      </c>
      <c r="G170" t="inlineStr">
        <is>
          <t>ANEBY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46305</v>
      </c>
      <c r="F171" t="inlineStr">
        <is>
          <t>JÖNKÖPINGS LÄN</t>
        </is>
      </c>
      <c r="G171" t="inlineStr">
        <is>
          <t>ANEBY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46305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46305</v>
      </c>
      <c r="F173" t="inlineStr">
        <is>
          <t>JÖNKÖPINGS LÄN</t>
        </is>
      </c>
      <c r="G173" t="inlineStr">
        <is>
          <t>ANEBY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46305</v>
      </c>
      <c r="F174" t="inlineStr">
        <is>
          <t>JÖNKÖPINGS LÄN</t>
        </is>
      </c>
      <c r="G174" t="inlineStr">
        <is>
          <t>ANEBY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46305</v>
      </c>
      <c r="F175" t="inlineStr">
        <is>
          <t>JÖNKÖPINGS LÄN</t>
        </is>
      </c>
      <c r="G175" t="inlineStr">
        <is>
          <t>ANEBY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46305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46305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45616</v>
      </c>
      <c r="E178" s="1" t="n">
        <v>46305</v>
      </c>
      <c r="F178" t="inlineStr">
        <is>
          <t>JÖNKÖPINGS LÄN</t>
        </is>
      </c>
      <c r="G178" t="inlineStr">
        <is>
          <t>ANEBY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46305</v>
      </c>
      <c r="F179" t="inlineStr">
        <is>
          <t>JÖNKÖPINGS LÄN</t>
        </is>
      </c>
      <c r="G179" t="inlineStr">
        <is>
          <t>ANEBY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46305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46305</v>
      </c>
      <c r="F181" t="inlineStr">
        <is>
          <t>JÖNKÖPINGS LÄN</t>
        </is>
      </c>
      <c r="G181" t="inlineStr">
        <is>
          <t>ANEBY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10155-2024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45364</v>
      </c>
      <c r="E182" s="1" t="n">
        <v>46305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46305</v>
      </c>
      <c r="F183" t="inlineStr">
        <is>
          <t>JÖNKÖPINGS LÄN</t>
        </is>
      </c>
      <c r="G183" t="inlineStr">
        <is>
          <t>ANEBY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46305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46305</v>
      </c>
      <c r="F185" t="inlineStr">
        <is>
          <t>JÖNKÖPINGS LÄN</t>
        </is>
      </c>
      <c r="G185" t="inlineStr">
        <is>
          <t>ANEBY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46305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46305</v>
      </c>
      <c r="F187" t="inlineStr">
        <is>
          <t>JÖNKÖPINGS LÄN</t>
        </is>
      </c>
      <c r="G187" t="inlineStr">
        <is>
          <t>ANEBY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46305</v>
      </c>
      <c r="F188" t="inlineStr">
        <is>
          <t>JÖNKÖPINGS LÄN</t>
        </is>
      </c>
      <c r="G188" t="inlineStr">
        <is>
          <t>ANEBY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46305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45727</v>
      </c>
      <c r="E190" s="1" t="n">
        <v>46305</v>
      </c>
      <c r="F190" t="inlineStr">
        <is>
          <t>JÖNKÖPINGS LÄN</t>
        </is>
      </c>
      <c r="G190" t="inlineStr">
        <is>
          <t>ANEBY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46305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44705</v>
      </c>
      <c r="E192" s="1" t="n">
        <v>46305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46305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46305</v>
      </c>
      <c r="F194" t="inlineStr">
        <is>
          <t>JÖNKÖPINGS LÄN</t>
        </is>
      </c>
      <c r="G194" t="inlineStr">
        <is>
          <t>ANEBY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46305</v>
      </c>
      <c r="F195" t="inlineStr">
        <is>
          <t>JÖNKÖPINGS LÄN</t>
        </is>
      </c>
      <c r="G195" t="inlineStr">
        <is>
          <t>ANEBY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46305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44678</v>
      </c>
      <c r="E197" s="1" t="n">
        <v>46305</v>
      </c>
      <c r="F197" t="inlineStr">
        <is>
          <t>JÖNKÖPINGS LÄN</t>
        </is>
      </c>
      <c r="G197" t="inlineStr">
        <is>
          <t>ANEBY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46305</v>
      </c>
      <c r="F198" t="inlineStr">
        <is>
          <t>JÖNKÖPINGS LÄN</t>
        </is>
      </c>
      <c r="G198" t="inlineStr">
        <is>
          <t>ANEBY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46305</v>
      </c>
      <c r="F199" t="inlineStr">
        <is>
          <t>JÖNKÖPINGS LÄN</t>
        </is>
      </c>
      <c r="G199" t="inlineStr">
        <is>
          <t>ANEBY</t>
        </is>
      </c>
      <c r="H199" t="inlineStr">
        <is>
          <t>Övriga Aktiebolag</t>
        </is>
      </c>
      <c r="I199" t="n">
        <v>16.8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46305</v>
      </c>
      <c r="F200" t="inlineStr">
        <is>
          <t>JÖNKÖPINGS LÄN</t>
        </is>
      </c>
      <c r="G200" t="inlineStr">
        <is>
          <t>ANEBY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46305</v>
      </c>
      <c r="F201" t="inlineStr">
        <is>
          <t>JÖNKÖPINGS LÄN</t>
        </is>
      </c>
      <c r="G201" t="inlineStr">
        <is>
          <t>ANEBY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46305</v>
      </c>
      <c r="F202" t="inlineStr">
        <is>
          <t>JÖNKÖPINGS LÄN</t>
        </is>
      </c>
      <c r="G202" t="inlineStr">
        <is>
          <t>ANEBY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46305</v>
      </c>
      <c r="F203" t="inlineStr">
        <is>
          <t>JÖNKÖPINGS LÄN</t>
        </is>
      </c>
      <c r="G203" t="inlineStr">
        <is>
          <t>ANEBY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46305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45357</v>
      </c>
      <c r="E205" s="1" t="n">
        <v>46305</v>
      </c>
      <c r="F205" t="inlineStr">
        <is>
          <t>JÖNKÖPINGS LÄN</t>
        </is>
      </c>
      <c r="G205" t="inlineStr">
        <is>
          <t>ANEBY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46305</v>
      </c>
      <c r="F206" t="inlineStr">
        <is>
          <t>JÖNKÖPINGS LÄN</t>
        </is>
      </c>
      <c r="G206" t="inlineStr">
        <is>
          <t>ANEBY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46305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46305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46305</v>
      </c>
      <c r="F209" t="inlineStr">
        <is>
          <t>JÖNKÖPINGS LÄN</t>
        </is>
      </c>
      <c r="G209" t="inlineStr">
        <is>
          <t>ANEBY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45468</v>
      </c>
      <c r="E210" s="1" t="n">
        <v>46305</v>
      </c>
      <c r="F210" t="inlineStr">
        <is>
          <t>JÖNKÖPINGS LÄN</t>
        </is>
      </c>
      <c r="G210" t="inlineStr">
        <is>
          <t>ANEBY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46305</v>
      </c>
      <c r="F211" t="inlineStr">
        <is>
          <t>JÖNKÖPINGS LÄN</t>
        </is>
      </c>
      <c r="G211" t="inlineStr">
        <is>
          <t>ANEBY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46305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46305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44671</v>
      </c>
      <c r="E214" s="1" t="n">
        <v>46305</v>
      </c>
      <c r="F214" t="inlineStr">
        <is>
          <t>JÖNKÖPINGS LÄN</t>
        </is>
      </c>
      <c r="G214" t="inlineStr">
        <is>
          <t>ANEBY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46305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46305</v>
      </c>
      <c r="F216" t="inlineStr">
        <is>
          <t>JÖNKÖPINGS LÄN</t>
        </is>
      </c>
      <c r="G216" t="inlineStr">
        <is>
          <t>ANEBY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46305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44721</v>
      </c>
      <c r="E218" s="1" t="n">
        <v>46305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46305</v>
      </c>
      <c r="F219" t="inlineStr">
        <is>
          <t>JÖNKÖPINGS LÄN</t>
        </is>
      </c>
      <c r="G219" t="inlineStr">
        <is>
          <t>ANEBY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46305</v>
      </c>
      <c r="F220" t="inlineStr">
        <is>
          <t>JÖNKÖPINGS LÄN</t>
        </is>
      </c>
      <c r="G220" t="inlineStr">
        <is>
          <t>ANEBY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46305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46305</v>
      </c>
      <c r="F222" t="inlineStr">
        <is>
          <t>JÖNKÖPINGS LÄN</t>
        </is>
      </c>
      <c r="G222" t="inlineStr">
        <is>
          <t>ANEBY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46305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46305</v>
      </c>
      <c r="F224" t="inlineStr">
        <is>
          <t>JÖNKÖPINGS LÄN</t>
        </is>
      </c>
      <c r="G224" t="inlineStr">
        <is>
          <t>ANEBY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46305</v>
      </c>
      <c r="F225" t="inlineStr">
        <is>
          <t>JÖNKÖPINGS LÄN</t>
        </is>
      </c>
      <c r="G225" t="inlineStr">
        <is>
          <t>ANEBY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45184</v>
      </c>
      <c r="E226" s="1" t="n">
        <v>46305</v>
      </c>
      <c r="F226" t="inlineStr">
        <is>
          <t>JÖNKÖPINGS LÄN</t>
        </is>
      </c>
      <c r="G226" t="inlineStr">
        <is>
          <t>ANEBY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46305</v>
      </c>
      <c r="F227" t="inlineStr">
        <is>
          <t>JÖNKÖPINGS LÄN</t>
        </is>
      </c>
      <c r="G227" t="inlineStr">
        <is>
          <t>ANEBY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45688</v>
      </c>
      <c r="E228" s="1" t="n">
        <v>46305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44482</v>
      </c>
      <c r="E229" s="1" t="n">
        <v>46305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45076</v>
      </c>
      <c r="E230" s="1" t="n">
        <v>46305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46305</v>
      </c>
      <c r="F231" t="inlineStr">
        <is>
          <t>JÖNKÖPINGS LÄN</t>
        </is>
      </c>
      <c r="G231" t="inlineStr">
        <is>
          <t>ANEBY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45300</v>
      </c>
      <c r="E232" s="1" t="n">
        <v>46305</v>
      </c>
      <c r="F232" t="inlineStr">
        <is>
          <t>JÖNKÖPINGS LÄN</t>
        </is>
      </c>
      <c r="G232" t="inlineStr">
        <is>
          <t>ANEBY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19362-2025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45769</v>
      </c>
      <c r="E233" s="1" t="n">
        <v>46305</v>
      </c>
      <c r="F233" t="inlineStr">
        <is>
          <t>JÖNKÖPINGS LÄN</t>
        </is>
      </c>
      <c r="G233" t="inlineStr">
        <is>
          <t>ANEBY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46305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46305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45653</v>
      </c>
      <c r="E236" s="1" t="n">
        <v>46305</v>
      </c>
      <c r="F236" t="inlineStr">
        <is>
          <t>JÖNKÖPINGS LÄN</t>
        </is>
      </c>
      <c r="G236" t="inlineStr">
        <is>
          <t>ANEBY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46305</v>
      </c>
      <c r="F237" t="inlineStr">
        <is>
          <t>JÖNKÖPINGS LÄN</t>
        </is>
      </c>
      <c r="G237" t="inlineStr">
        <is>
          <t>ANEBY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46305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46305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46305</v>
      </c>
      <c r="F240" t="inlineStr">
        <is>
          <t>JÖNKÖPINGS LÄN</t>
        </is>
      </c>
      <c r="G240" t="inlineStr">
        <is>
          <t>ANEBY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46305</v>
      </c>
      <c r="F241" t="inlineStr">
        <is>
          <t>JÖNKÖPINGS LÄN</t>
        </is>
      </c>
      <c r="G241" t="inlineStr">
        <is>
          <t>ANEBY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45033</v>
      </c>
      <c r="E242" s="1" t="n">
        <v>46305</v>
      </c>
      <c r="F242" t="inlineStr">
        <is>
          <t>JÖNKÖPINGS LÄN</t>
        </is>
      </c>
      <c r="G242" t="inlineStr">
        <is>
          <t>ANEBY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46305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46305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46305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44847</v>
      </c>
      <c r="E246" s="1" t="n">
        <v>46305</v>
      </c>
      <c r="F246" t="inlineStr">
        <is>
          <t>JÖNKÖPINGS LÄN</t>
        </is>
      </c>
      <c r="G246" t="inlineStr">
        <is>
          <t>ANEBY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46305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46305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46305</v>
      </c>
      <c r="F249" t="inlineStr">
        <is>
          <t>JÖNKÖPINGS LÄN</t>
        </is>
      </c>
      <c r="G249" t="inlineStr">
        <is>
          <t>ANEBY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46305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46305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44482</v>
      </c>
      <c r="E252" s="1" t="n">
        <v>46305</v>
      </c>
      <c r="F252" t="inlineStr">
        <is>
          <t>JÖNKÖPINGS LÄN</t>
        </is>
      </c>
      <c r="G252" t="inlineStr">
        <is>
          <t>ANEBY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46305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46305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46305</v>
      </c>
      <c r="F255" t="inlineStr">
        <is>
          <t>JÖNKÖPINGS LÄN</t>
        </is>
      </c>
      <c r="G255" t="inlineStr">
        <is>
          <t>ANEBY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46305</v>
      </c>
      <c r="F256" t="inlineStr">
        <is>
          <t>JÖNKÖPINGS LÄN</t>
        </is>
      </c>
      <c r="G256" t="inlineStr">
        <is>
          <t>ANEBY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46305</v>
      </c>
      <c r="F257" t="inlineStr">
        <is>
          <t>JÖNKÖPINGS LÄN</t>
        </is>
      </c>
      <c r="G257" t="inlineStr">
        <is>
          <t>ANEBY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46305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45393</v>
      </c>
      <c r="E259" s="1" t="n">
        <v>46305</v>
      </c>
      <c r="F259" t="inlineStr">
        <is>
          <t>JÖNKÖPINGS LÄN</t>
        </is>
      </c>
      <c r="G259" t="inlineStr">
        <is>
          <t>ANEBY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46305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46305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45574</v>
      </c>
      <c r="E262" s="1" t="n">
        <v>46305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45016</v>
      </c>
      <c r="E263" s="1" t="n">
        <v>46305</v>
      </c>
      <c r="F263" t="inlineStr">
        <is>
          <t>JÖNKÖPINGS LÄN</t>
        </is>
      </c>
      <c r="G263" t="inlineStr">
        <is>
          <t>ANEBY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23354-2023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45076</v>
      </c>
      <c r="E264" s="1" t="n">
        <v>46305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46305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67414-2021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44524</v>
      </c>
      <c r="E266" s="1" t="n">
        <v>46305</v>
      </c>
      <c r="F266" t="inlineStr">
        <is>
          <t>JÖNKÖPINGS LÄN</t>
        </is>
      </c>
      <c r="G266" t="inlineStr">
        <is>
          <t>ANEBY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44565</v>
      </c>
      <c r="E267" s="1" t="n">
        <v>46305</v>
      </c>
      <c r="F267" t="inlineStr">
        <is>
          <t>JÖNKÖPINGS LÄN</t>
        </is>
      </c>
      <c r="G267" t="inlineStr">
        <is>
          <t>ANEBY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46305</v>
      </c>
      <c r="F268" t="inlineStr">
        <is>
          <t>JÖNKÖPINGS LÄN</t>
        </is>
      </c>
      <c r="G268" t="inlineStr">
        <is>
          <t>ANEBY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46305</v>
      </c>
      <c r="F269" t="inlineStr">
        <is>
          <t>JÖNKÖPINGS LÄN</t>
        </is>
      </c>
      <c r="G269" t="inlineStr">
        <is>
          <t>ANEBY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46305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46305</v>
      </c>
      <c r="F271" t="inlineStr">
        <is>
          <t>JÖNKÖPINGS LÄN</t>
        </is>
      </c>
      <c r="G271" t="inlineStr">
        <is>
          <t>ANEBY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46305</v>
      </c>
      <c r="F272" t="inlineStr">
        <is>
          <t>JÖNKÖPINGS LÄN</t>
        </is>
      </c>
      <c r="G272" t="inlineStr">
        <is>
          <t>ANEBY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46305</v>
      </c>
      <c r="F273" t="inlineStr">
        <is>
          <t>JÖNKÖPINGS LÄN</t>
        </is>
      </c>
      <c r="G273" t="inlineStr">
        <is>
          <t>ANEBY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46305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46305</v>
      </c>
      <c r="F275" t="inlineStr">
        <is>
          <t>JÖNKÖPINGS LÄN</t>
        </is>
      </c>
      <c r="G275" t="inlineStr">
        <is>
          <t>ANEBY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46305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46305</v>
      </c>
      <c r="F277" t="inlineStr">
        <is>
          <t>JÖNKÖPINGS LÄN</t>
        </is>
      </c>
      <c r="G277" t="inlineStr">
        <is>
          <t>ANEBY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44957</v>
      </c>
      <c r="E278" s="1" t="n">
        <v>46305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35773-2023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45148</v>
      </c>
      <c r="E279" s="1" t="n">
        <v>46305</v>
      </c>
      <c r="F279" t="inlineStr">
        <is>
          <t>JÖNKÖPINGS LÄN</t>
        </is>
      </c>
      <c r="G279" t="inlineStr">
        <is>
          <t>ANEBY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44888</v>
      </c>
      <c r="E280" s="1" t="n">
        <v>46305</v>
      </c>
      <c r="F280" t="inlineStr">
        <is>
          <t>JÖNKÖPINGS LÄN</t>
        </is>
      </c>
      <c r="G280" t="inlineStr">
        <is>
          <t>ANEBY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46305</v>
      </c>
      <c r="F281" t="inlineStr">
        <is>
          <t>JÖNKÖPINGS LÄN</t>
        </is>
      </c>
      <c r="G281" t="inlineStr">
        <is>
          <t>ANEBY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46305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46305</v>
      </c>
      <c r="F283" t="inlineStr">
        <is>
          <t>JÖNKÖPINGS LÄN</t>
        </is>
      </c>
      <c r="G283" t="inlineStr">
        <is>
          <t>ANEBY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45363</v>
      </c>
      <c r="E284" s="1" t="n">
        <v>46305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46305</v>
      </c>
      <c r="F285" t="inlineStr">
        <is>
          <t>JÖNKÖPINGS LÄN</t>
        </is>
      </c>
      <c r="G285" t="inlineStr">
        <is>
          <t>ANEBY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46305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46305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46305</v>
      </c>
      <c r="F288" t="inlineStr">
        <is>
          <t>JÖNKÖPINGS LÄN</t>
        </is>
      </c>
      <c r="G288" t="inlineStr">
        <is>
          <t>ANEBY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46305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45300</v>
      </c>
      <c r="E290" s="1" t="n">
        <v>46305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46305</v>
      </c>
      <c r="F291" t="inlineStr">
        <is>
          <t>JÖNKÖPINGS LÄN</t>
        </is>
      </c>
      <c r="G291" t="inlineStr">
        <is>
          <t>ANEBY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46305</v>
      </c>
      <c r="F292" t="inlineStr">
        <is>
          <t>JÖNKÖPINGS LÄN</t>
        </is>
      </c>
      <c r="G292" t="inlineStr">
        <is>
          <t>ANEBY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46305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46305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46305</v>
      </c>
      <c r="F295" t="inlineStr">
        <is>
          <t>JÖNKÖPINGS LÄN</t>
        </is>
      </c>
      <c r="G295" t="inlineStr">
        <is>
          <t>ANEBY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46305</v>
      </c>
      <c r="F296" t="inlineStr">
        <is>
          <t>JÖNKÖPINGS LÄN</t>
        </is>
      </c>
      <c r="G296" t="inlineStr">
        <is>
          <t>ANEBY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21026-2024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45439</v>
      </c>
      <c r="E297" s="1" t="n">
        <v>46305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46305</v>
      </c>
      <c r="F298" t="inlineStr">
        <is>
          <t>JÖNKÖPINGS LÄN</t>
        </is>
      </c>
      <c r="G298" t="inlineStr">
        <is>
          <t>ANEBY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6827-2026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46057</v>
      </c>
      <c r="E299" s="1" t="n">
        <v>46305</v>
      </c>
      <c r="F299" t="inlineStr">
        <is>
          <t>JÖNKÖPINGS LÄN</t>
        </is>
      </c>
      <c r="G299" t="inlineStr">
        <is>
          <t>ANEBY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46305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46058</v>
      </c>
      <c r="E301" s="1" t="n">
        <v>46305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46305</v>
      </c>
      <c r="F302" t="inlineStr">
        <is>
          <t>JÖNKÖPINGS LÄN</t>
        </is>
      </c>
      <c r="G302" t="inlineStr">
        <is>
          <t>ANEBY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46305</v>
      </c>
      <c r="F303" t="inlineStr">
        <is>
          <t>JÖNKÖPINGS LÄN</t>
        </is>
      </c>
      <c r="G303" t="inlineStr">
        <is>
          <t>ANEBY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46305</v>
      </c>
      <c r="F304" t="inlineStr">
        <is>
          <t>JÖNKÖPINGS LÄN</t>
        </is>
      </c>
      <c r="G304" t="inlineStr">
        <is>
          <t>ANEBY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46305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46305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21356-2026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46147</v>
      </c>
      <c r="E307" s="1" t="n">
        <v>46305</v>
      </c>
      <c r="F307" t="inlineStr">
        <is>
          <t>JÖNKÖPINGS LÄN</t>
        </is>
      </c>
      <c r="G307" t="inlineStr">
        <is>
          <t>ANEBY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46305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46305</v>
      </c>
      <c r="F309" t="inlineStr">
        <is>
          <t>JÖNKÖPINGS LÄN</t>
        </is>
      </c>
      <c r="G309" t="inlineStr">
        <is>
          <t>ANEBY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46305</v>
      </c>
      <c r="F310" t="inlineStr">
        <is>
          <t>JÖNKÖPINGS LÄN</t>
        </is>
      </c>
      <c r="G310" t="inlineStr">
        <is>
          <t>ANEBY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46305</v>
      </c>
      <c r="F311" t="inlineStr">
        <is>
          <t>JÖNKÖPINGS LÄN</t>
        </is>
      </c>
      <c r="G311" t="inlineStr">
        <is>
          <t>ANEBY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46305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46305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46305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46305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46305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46171</v>
      </c>
      <c r="E317" s="1" t="n">
        <v>46305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46305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46305</v>
      </c>
      <c r="F319" t="inlineStr">
        <is>
          <t>JÖNKÖPINGS LÄN</t>
        </is>
      </c>
      <c r="G319" t="inlineStr">
        <is>
          <t>ANEBY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46305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46305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46305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46305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46305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46305</v>
      </c>
      <c r="F325" t="inlineStr">
        <is>
          <t>JÖNKÖPINGS LÄN</t>
        </is>
      </c>
      <c r="G325" t="inlineStr">
        <is>
          <t>ANEBY</t>
        </is>
      </c>
      <c r="I325" t="n">
        <v>17.9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46195</v>
      </c>
      <c r="E326" s="1" t="n">
        <v>46305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46305</v>
      </c>
      <c r="F327" t="inlineStr">
        <is>
          <t>JÖNKÖPINGS LÄN</t>
        </is>
      </c>
      <c r="G327" t="inlineStr">
        <is>
          <t>ANEBY</t>
        </is>
      </c>
      <c r="H327" t="inlineStr">
        <is>
          <t>Kyrkan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46305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46305</v>
      </c>
      <c r="F329" t="inlineStr">
        <is>
          <t>JÖNKÖPINGS LÄN</t>
        </is>
      </c>
      <c r="G329" t="inlineStr">
        <is>
          <t>ANEBY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46305</v>
      </c>
      <c r="F330" t="inlineStr">
        <is>
          <t>JÖNKÖPINGS LÄN</t>
        </is>
      </c>
      <c r="G330" t="inlineStr">
        <is>
          <t>ANEBY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46214</v>
      </c>
      <c r="E331" s="1" t="n">
        <v>46305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46214</v>
      </c>
      <c r="E332" s="1" t="n">
        <v>46305</v>
      </c>
      <c r="F332" t="inlineStr">
        <is>
          <t>JÖNKÖPINGS LÄN</t>
        </is>
      </c>
      <c r="G332" t="inlineStr">
        <is>
          <t>ANEBY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46305</v>
      </c>
      <c r="F333" t="inlineStr">
        <is>
          <t>JÖNKÖPINGS LÄN</t>
        </is>
      </c>
      <c r="G333" t="inlineStr">
        <is>
          <t>ANEBY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46265</v>
      </c>
      <c r="E334" s="1" t="n">
        <v>46305</v>
      </c>
      <c r="F334" t="inlineStr">
        <is>
          <t>JÖNKÖPINGS LÄN</t>
        </is>
      </c>
      <c r="G334" t="inlineStr">
        <is>
          <t>ANEBY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46224</v>
      </c>
      <c r="E335" s="1" t="n">
        <v>46305</v>
      </c>
      <c r="F335" t="inlineStr">
        <is>
          <t>JÖNKÖPINGS LÄN</t>
        </is>
      </c>
      <c r="G335" t="inlineStr">
        <is>
          <t>ANEBY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46305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46305</v>
      </c>
      <c r="F337" t="inlineStr">
        <is>
          <t>JÖNKÖPINGS LÄN</t>
        </is>
      </c>
      <c r="G337" t="inlineStr">
        <is>
          <t>ANEBY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46305</v>
      </c>
      <c r="F338" t="inlineStr">
        <is>
          <t>JÖNKÖPINGS LÄN</t>
        </is>
      </c>
      <c r="G338" t="inlineStr">
        <is>
          <t>ANEBY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46305</v>
      </c>
      <c r="F339" t="inlineStr">
        <is>
          <t>JÖNKÖPINGS LÄN</t>
        </is>
      </c>
      <c r="G339" t="inlineStr">
        <is>
          <t>ANEBY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46283</v>
      </c>
      <c r="E340" s="1" t="n">
        <v>46305</v>
      </c>
      <c r="F340" t="inlineStr">
        <is>
          <t>JÖNKÖPINGS LÄN</t>
        </is>
      </c>
      <c r="G340" t="inlineStr">
        <is>
          <t>ANEBY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46305</v>
      </c>
      <c r="F341" t="inlineStr">
        <is>
          <t>JÖNKÖPINGS LÄN</t>
        </is>
      </c>
      <c r="G341" t="inlineStr">
        <is>
          <t>ANEBY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46305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46305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46305</v>
      </c>
      <c r="F344" t="inlineStr">
        <is>
          <t>JÖNKÖPINGS LÄN</t>
        </is>
      </c>
      <c r="G344" t="inlineStr">
        <is>
          <t>ANEBY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46305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46305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34850-2026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46255</v>
      </c>
      <c r="E347" s="1" t="n">
        <v>46305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46302</v>
      </c>
      <c r="E348" s="1" t="n">
        <v>46305</v>
      </c>
      <c r="F348" t="inlineStr">
        <is>
          <t>JÖNKÖPINGS LÄN</t>
        </is>
      </c>
      <c r="G348" t="inlineStr">
        <is>
          <t>ANEBY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46302</v>
      </c>
      <c r="E349" s="1" t="n">
        <v>46305</v>
      </c>
      <c r="F349" t="inlineStr">
        <is>
          <t>JÖNKÖPINGS LÄN</t>
        </is>
      </c>
      <c r="G349" t="inlineStr">
        <is>
          <t>ANEBY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46302</v>
      </c>
      <c r="E350" s="1" t="n">
        <v>46305</v>
      </c>
      <c r="F350" t="inlineStr">
        <is>
          <t>JÖNKÖPINGS LÄN</t>
        </is>
      </c>
      <c r="G350" t="inlineStr">
        <is>
          <t>ANEBY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46305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5767-2022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44848</v>
      </c>
      <c r="E352" s="1" t="n">
        <v>46305</v>
      </c>
      <c r="F352" t="inlineStr">
        <is>
          <t>JÖNKÖPINGS LÄN</t>
        </is>
      </c>
      <c r="G352" t="inlineStr">
        <is>
          <t>ANEBY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46305</v>
      </c>
      <c r="F353" t="inlineStr">
        <is>
          <t>JÖNKÖPINGS LÄN</t>
        </is>
      </c>
      <c r="G353" t="inlineStr">
        <is>
          <t>ANEBY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1677-2023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45063</v>
      </c>
      <c r="E354" s="1" t="n">
        <v>46305</v>
      </c>
      <c r="F354" t="inlineStr">
        <is>
          <t>JÖNKÖPINGS LÄN</t>
        </is>
      </c>
      <c r="G354" t="inlineStr">
        <is>
          <t>ANEBY</t>
        </is>
      </c>
      <c r="I354" t="n">
        <v>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46305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46305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46305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46305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46305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46305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46305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46305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46305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2026-10-10T02:06:09Z</dcterms:created>
  <dcterms:modified xmlns:dcterms="http://purl.org/dc/terms/" xmlns:xsi="http://www.w3.org/2001/XMLSchema-instance" xsi:type="dcterms:W3CDTF">2026-10-10T02:06:09Z</dcterms:modified>
</cp:coreProperties>
</file>