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45727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45727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45727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45727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45727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45727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45727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45727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45727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45727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45727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45727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45727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45727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45727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45727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45727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45727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45727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45727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45727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45727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45727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8131-2025</t>
        </is>
      </c>
      <c r="B25" s="1" t="n">
        <v>45707</v>
      </c>
      <c r="C25" s="1" t="n">
        <v>45727</v>
      </c>
      <c r="D25" t="inlineStr">
        <is>
          <t>JÖNKÖPINGS LÄN</t>
        </is>
      </c>
      <c r="E25" t="inlineStr">
        <is>
          <t>ANEBY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HYPERLINK("https://klasma.github.io/Logging_0604/artfynd/A 8131-2025 artfynd.xlsx", "A 8131-2025")</f>
        <v/>
      </c>
      <c r="T25">
        <f>HYPERLINK("https://klasma.github.io/Logging_0604/kartor/A 8131-2025 karta.png", "A 8131-2025")</f>
        <v/>
      </c>
      <c r="V25">
        <f>HYPERLINK("https://klasma.github.io/Logging_0604/klagomål/A 8131-2025 FSC-klagomål.docx", "A 8131-2025")</f>
        <v/>
      </c>
      <c r="W25">
        <f>HYPERLINK("https://klasma.github.io/Logging_0604/klagomålsmail/A 8131-2025 FSC-klagomål mail.docx", "A 8131-2025")</f>
        <v/>
      </c>
      <c r="X25">
        <f>HYPERLINK("https://klasma.github.io/Logging_0604/tillsyn/A 8131-2025 tillsynsbegäran.docx", "A 8131-2025")</f>
        <v/>
      </c>
      <c r="Y25">
        <f>HYPERLINK("https://klasma.github.io/Logging_0604/tillsynsmail/A 8131-2025 tillsynsbegäran mail.docx", "A 8131-2025")</f>
        <v/>
      </c>
    </row>
    <row r="26" ht="15" customHeight="1">
      <c r="A26" t="inlineStr">
        <is>
          <t>A 18854-2019</t>
        </is>
      </c>
      <c r="B26" s="1" t="n">
        <v>43563</v>
      </c>
      <c r="C26" s="1" t="n">
        <v>45727</v>
      </c>
      <c r="D26" t="inlineStr">
        <is>
          <t>JÖNKÖPINGS LÄN</t>
        </is>
      </c>
      <c r="E26" t="inlineStr">
        <is>
          <t>ANEBY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19085-2019</t>
        </is>
      </c>
      <c r="B27" s="1" t="n">
        <v>43564</v>
      </c>
      <c r="C27" s="1" t="n">
        <v>45727</v>
      </c>
      <c r="D27" t="inlineStr">
        <is>
          <t>JÖNKÖPINGS LÄN</t>
        </is>
      </c>
      <c r="E27" t="inlineStr">
        <is>
          <t>ANEBY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20527-2019</t>
        </is>
      </c>
      <c r="B28" s="1" t="n">
        <v>43572</v>
      </c>
      <c r="C28" s="1" t="n">
        <v>45727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21108-2019</t>
        </is>
      </c>
      <c r="B29" s="1" t="n">
        <v>43578</v>
      </c>
      <c r="C29" s="1" t="n">
        <v>45727</v>
      </c>
      <c r="D29" t="inlineStr">
        <is>
          <t>JÖNKÖPINGS LÄN</t>
        </is>
      </c>
      <c r="E29" t="inlineStr">
        <is>
          <t>ANEBY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20949-2019</t>
        </is>
      </c>
      <c r="B30" s="1" t="n">
        <v>43578</v>
      </c>
      <c r="C30" s="1" t="n">
        <v>45727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23870-2019</t>
        </is>
      </c>
      <c r="B31" s="1" t="n">
        <v>43595</v>
      </c>
      <c r="C31" s="1" t="n">
        <v>45727</v>
      </c>
      <c r="D31" t="inlineStr">
        <is>
          <t>JÖNKÖPINGS LÄN</t>
        </is>
      </c>
      <c r="E31" t="inlineStr">
        <is>
          <t>ANEBY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24037-2019</t>
        </is>
      </c>
      <c r="B32" s="1" t="n">
        <v>43598</v>
      </c>
      <c r="C32" s="1" t="n">
        <v>45727</v>
      </c>
      <c r="D32" t="inlineStr">
        <is>
          <t>JÖNKÖPINGS LÄN</t>
        </is>
      </c>
      <c r="E32" t="inlineStr">
        <is>
          <t>ANEBY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24194-2019</t>
        </is>
      </c>
      <c r="B33" s="1" t="n">
        <v>43599</v>
      </c>
      <c r="C33" s="1" t="n">
        <v>45727</v>
      </c>
      <c r="D33" t="inlineStr">
        <is>
          <t>JÖNKÖPINGS LÄN</t>
        </is>
      </c>
      <c r="E33" t="inlineStr">
        <is>
          <t>ANEBY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24745-2019</t>
        </is>
      </c>
      <c r="B34" s="1" t="n">
        <v>43599</v>
      </c>
      <c r="C34" s="1" t="n">
        <v>45727</v>
      </c>
      <c r="D34" t="inlineStr">
        <is>
          <t>JÖNKÖPINGS LÄN</t>
        </is>
      </c>
      <c r="E34" t="inlineStr">
        <is>
          <t>ANEBY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28081-2019</t>
        </is>
      </c>
      <c r="B35" s="1" t="n">
        <v>43621</v>
      </c>
      <c r="C35" s="1" t="n">
        <v>45727</v>
      </c>
      <c r="D35" t="inlineStr">
        <is>
          <t>JÖNKÖPINGS LÄN</t>
        </is>
      </c>
      <c r="E35" t="inlineStr">
        <is>
          <t>ANEBY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28742-2019</t>
        </is>
      </c>
      <c r="B36" s="1" t="n">
        <v>43627</v>
      </c>
      <c r="C36" s="1" t="n">
        <v>45727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30363-2019</t>
        </is>
      </c>
      <c r="B37" s="1" t="n">
        <v>43634</v>
      </c>
      <c r="C37" s="1" t="n">
        <v>45727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31219-2019</t>
        </is>
      </c>
      <c r="B38" s="1" t="n">
        <v>43635</v>
      </c>
      <c r="C38" s="1" t="n">
        <v>45727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31212-2019</t>
        </is>
      </c>
      <c r="B39" s="1" t="n">
        <v>43640</v>
      </c>
      <c r="C39" s="1" t="n">
        <v>45727</v>
      </c>
      <c r="D39" t="inlineStr">
        <is>
          <t>JÖNKÖPINGS LÄN</t>
        </is>
      </c>
      <c r="E39" t="inlineStr">
        <is>
          <t>ANEBY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31333-2019</t>
        </is>
      </c>
      <c r="B40" s="1" t="n">
        <v>43641</v>
      </c>
      <c r="C40" s="1" t="n">
        <v>45727</v>
      </c>
      <c r="D40" t="inlineStr">
        <is>
          <t>JÖNKÖPINGS LÄN</t>
        </is>
      </c>
      <c r="E40" t="inlineStr">
        <is>
          <t>ANEBY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31458-2019</t>
        </is>
      </c>
      <c r="B41" s="1" t="n">
        <v>43641</v>
      </c>
      <c r="C41" s="1" t="n">
        <v>45727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34629-2019</t>
        </is>
      </c>
      <c r="B42" s="1" t="n">
        <v>43647</v>
      </c>
      <c r="C42" s="1" t="n">
        <v>45727</v>
      </c>
      <c r="D42" t="inlineStr">
        <is>
          <t>JÖNKÖPINGS LÄN</t>
        </is>
      </c>
      <c r="E42" t="inlineStr">
        <is>
          <t>ANEBY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34633-2019</t>
        </is>
      </c>
      <c r="B43" s="1" t="n">
        <v>43647</v>
      </c>
      <c r="C43" s="1" t="n">
        <v>45727</v>
      </c>
      <c r="D43" t="inlineStr">
        <is>
          <t>JÖNKÖPINGS LÄN</t>
        </is>
      </c>
      <c r="E43" t="inlineStr">
        <is>
          <t>ANEBY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33620-2019</t>
        </is>
      </c>
      <c r="B44" s="1" t="n">
        <v>43651</v>
      </c>
      <c r="C44" s="1" t="n">
        <v>45727</v>
      </c>
      <c r="D44" t="inlineStr">
        <is>
          <t>JÖNKÖPINGS LÄN</t>
        </is>
      </c>
      <c r="E44" t="inlineStr">
        <is>
          <t>ANEBY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34287-2019</t>
        </is>
      </c>
      <c r="B45" s="1" t="n">
        <v>43655</v>
      </c>
      <c r="C45" s="1" t="n">
        <v>45727</v>
      </c>
      <c r="D45" t="inlineStr">
        <is>
          <t>JÖNKÖPINGS LÄN</t>
        </is>
      </c>
      <c r="E45" t="inlineStr">
        <is>
          <t>ANEBY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35830-2019</t>
        </is>
      </c>
      <c r="B46" s="1" t="n">
        <v>43656</v>
      </c>
      <c r="C46" s="1" t="n">
        <v>45727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35839-2019</t>
        </is>
      </c>
      <c r="B47" s="1" t="n">
        <v>43656</v>
      </c>
      <c r="C47" s="1" t="n">
        <v>45727</v>
      </c>
      <c r="D47" t="inlineStr">
        <is>
          <t>JÖNKÖPINGS LÄN</t>
        </is>
      </c>
      <c r="E47" t="inlineStr">
        <is>
          <t>ANEBY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35849-2019</t>
        </is>
      </c>
      <c r="B48" s="1" t="n">
        <v>43656</v>
      </c>
      <c r="C48" s="1" t="n">
        <v>45727</v>
      </c>
      <c r="D48" t="inlineStr">
        <is>
          <t>JÖNKÖPINGS LÄN</t>
        </is>
      </c>
      <c r="E48" t="inlineStr">
        <is>
          <t>ANEBY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35807-2019</t>
        </is>
      </c>
      <c r="B49" s="1" t="n">
        <v>43656</v>
      </c>
      <c r="C49" s="1" t="n">
        <v>45727</v>
      </c>
      <c r="D49" t="inlineStr">
        <is>
          <t>JÖNKÖPINGS LÄN</t>
        </is>
      </c>
      <c r="E49" t="inlineStr">
        <is>
          <t>ANEBY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35837-2019</t>
        </is>
      </c>
      <c r="B50" s="1" t="n">
        <v>43656</v>
      </c>
      <c r="C50" s="1" t="n">
        <v>45727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35847-2019</t>
        </is>
      </c>
      <c r="B51" s="1" t="n">
        <v>43656</v>
      </c>
      <c r="C51" s="1" t="n">
        <v>45727</v>
      </c>
      <c r="D51" t="inlineStr">
        <is>
          <t>JÖNKÖPINGS LÄN</t>
        </is>
      </c>
      <c r="E51" t="inlineStr">
        <is>
          <t>ANEBY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39188-2019</t>
        </is>
      </c>
      <c r="B52" s="1" t="n">
        <v>43690</v>
      </c>
      <c r="C52" s="1" t="n">
        <v>45727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39685-2019</t>
        </is>
      </c>
      <c r="B53" s="1" t="n">
        <v>43691</v>
      </c>
      <c r="C53" s="1" t="n">
        <v>45727</v>
      </c>
      <c r="D53" t="inlineStr">
        <is>
          <t>JÖNKÖPINGS LÄN</t>
        </is>
      </c>
      <c r="E53" t="inlineStr">
        <is>
          <t>ANEBY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41305-2019</t>
        </is>
      </c>
      <c r="B54" s="1" t="n">
        <v>43698</v>
      </c>
      <c r="C54" s="1" t="n">
        <v>45727</v>
      </c>
      <c r="D54" t="inlineStr">
        <is>
          <t>JÖNKÖPINGS LÄN</t>
        </is>
      </c>
      <c r="E54" t="inlineStr">
        <is>
          <t>ANEBY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42224-2019</t>
        </is>
      </c>
      <c r="B55" s="1" t="n">
        <v>43698</v>
      </c>
      <c r="C55" s="1" t="n">
        <v>45727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42229-2019</t>
        </is>
      </c>
      <c r="B56" s="1" t="n">
        <v>43698</v>
      </c>
      <c r="C56" s="1" t="n">
        <v>45727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41567-2019</t>
        </is>
      </c>
      <c r="B57" s="1" t="n">
        <v>43699</v>
      </c>
      <c r="C57" s="1" t="n">
        <v>45727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42315-2019</t>
        </is>
      </c>
      <c r="B58" s="1" t="n">
        <v>43703</v>
      </c>
      <c r="C58" s="1" t="n">
        <v>45727</v>
      </c>
      <c r="D58" t="inlineStr">
        <is>
          <t>JÖNKÖPINGS LÄN</t>
        </is>
      </c>
      <c r="E58" t="inlineStr">
        <is>
          <t>ANEBY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44395-2019</t>
        </is>
      </c>
      <c r="B59" s="1" t="n">
        <v>43710</v>
      </c>
      <c r="C59" s="1" t="n">
        <v>45727</v>
      </c>
      <c r="D59" t="inlineStr">
        <is>
          <t>JÖNKÖPINGS LÄN</t>
        </is>
      </c>
      <c r="E59" t="inlineStr">
        <is>
          <t>ANEBY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44101-2019</t>
        </is>
      </c>
      <c r="B60" s="1" t="n">
        <v>43710</v>
      </c>
      <c r="C60" s="1" t="n">
        <v>45727</v>
      </c>
      <c r="D60" t="inlineStr">
        <is>
          <t>JÖNKÖPINGS LÄN</t>
        </is>
      </c>
      <c r="E60" t="inlineStr">
        <is>
          <t>ANEBY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44338-2019</t>
        </is>
      </c>
      <c r="B61" s="1" t="n">
        <v>43711</v>
      </c>
      <c r="C61" s="1" t="n">
        <v>45727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44425-2019</t>
        </is>
      </c>
      <c r="B62" s="1" t="n">
        <v>43711</v>
      </c>
      <c r="C62" s="1" t="n">
        <v>45727</v>
      </c>
      <c r="D62" t="inlineStr">
        <is>
          <t>JÖNKÖPINGS LÄN</t>
        </is>
      </c>
      <c r="E62" t="inlineStr">
        <is>
          <t>ANEBY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44339-2019</t>
        </is>
      </c>
      <c r="B63" s="1" t="n">
        <v>43711</v>
      </c>
      <c r="C63" s="1" t="n">
        <v>45727</v>
      </c>
      <c r="D63" t="inlineStr">
        <is>
          <t>JÖNKÖPINGS LÄN</t>
        </is>
      </c>
      <c r="E63" t="inlineStr">
        <is>
          <t>ANEBY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44693-2019</t>
        </is>
      </c>
      <c r="B64" s="1" t="n">
        <v>43712</v>
      </c>
      <c r="C64" s="1" t="n">
        <v>45727</v>
      </c>
      <c r="D64" t="inlineStr">
        <is>
          <t>JÖNKÖPINGS LÄN</t>
        </is>
      </c>
      <c r="E64" t="inlineStr">
        <is>
          <t>ANEBY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46324-2019</t>
        </is>
      </c>
      <c r="B65" s="1" t="n">
        <v>43718</v>
      </c>
      <c r="C65" s="1" t="n">
        <v>45727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46328-2019</t>
        </is>
      </c>
      <c r="B66" s="1" t="n">
        <v>43718</v>
      </c>
      <c r="C66" s="1" t="n">
        <v>45727</v>
      </c>
      <c r="D66" t="inlineStr">
        <is>
          <t>JÖNKÖPINGS LÄN</t>
        </is>
      </c>
      <c r="E66" t="inlineStr">
        <is>
          <t>ANEBY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46076-2019</t>
        </is>
      </c>
      <c r="B67" s="1" t="n">
        <v>43718</v>
      </c>
      <c r="C67" s="1" t="n">
        <v>45727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46521-2019</t>
        </is>
      </c>
      <c r="B68" s="1" t="n">
        <v>43719</v>
      </c>
      <c r="C68" s="1" t="n">
        <v>45727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47293-2019</t>
        </is>
      </c>
      <c r="B69" s="1" t="n">
        <v>43721</v>
      </c>
      <c r="C69" s="1" t="n">
        <v>45727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47289-2019</t>
        </is>
      </c>
      <c r="B70" s="1" t="n">
        <v>43721</v>
      </c>
      <c r="C70" s="1" t="n">
        <v>45727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47861-2019</t>
        </is>
      </c>
      <c r="B71" s="1" t="n">
        <v>43725</v>
      </c>
      <c r="C71" s="1" t="n">
        <v>45727</v>
      </c>
      <c r="D71" t="inlineStr">
        <is>
          <t>JÖNKÖPINGS LÄN</t>
        </is>
      </c>
      <c r="E71" t="inlineStr">
        <is>
          <t>ANEBY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48498-2019</t>
        </is>
      </c>
      <c r="B72" s="1" t="n">
        <v>43726</v>
      </c>
      <c r="C72" s="1" t="n">
        <v>45727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53002-2019</t>
        </is>
      </c>
      <c r="B73" s="1" t="n">
        <v>43735</v>
      </c>
      <c r="C73" s="1" t="n">
        <v>45727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52381-2019</t>
        </is>
      </c>
      <c r="B74" s="1" t="n">
        <v>43745</v>
      </c>
      <c r="C74" s="1" t="n">
        <v>45727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53113-2019</t>
        </is>
      </c>
      <c r="B75" s="1" t="n">
        <v>43747</v>
      </c>
      <c r="C75" s="1" t="n">
        <v>45727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56989-2019</t>
        </is>
      </c>
      <c r="B76" s="1" t="n">
        <v>43766</v>
      </c>
      <c r="C76" s="1" t="n">
        <v>45727</v>
      </c>
      <c r="D76" t="inlineStr">
        <is>
          <t>JÖNKÖPINGS LÄN</t>
        </is>
      </c>
      <c r="E76" t="inlineStr">
        <is>
          <t>ANEBY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58958-2019</t>
        </is>
      </c>
      <c r="B77" s="1" t="n">
        <v>43769</v>
      </c>
      <c r="C77" s="1" t="n">
        <v>45727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61635-2019</t>
        </is>
      </c>
      <c r="B78" s="1" t="n">
        <v>43784</v>
      </c>
      <c r="C78" s="1" t="n">
        <v>45727</v>
      </c>
      <c r="D78" t="inlineStr">
        <is>
          <t>JÖNKÖPINGS LÄN</t>
        </is>
      </c>
      <c r="E78" t="inlineStr">
        <is>
          <t>ANEBY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62393-2019</t>
        </is>
      </c>
      <c r="B79" s="1" t="n">
        <v>43788</v>
      </c>
      <c r="C79" s="1" t="n">
        <v>45727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66057-2019</t>
        </is>
      </c>
      <c r="B80" s="1" t="n">
        <v>43806</v>
      </c>
      <c r="C80" s="1" t="n">
        <v>45727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66857-2019</t>
        </is>
      </c>
      <c r="B81" s="1" t="n">
        <v>43810</v>
      </c>
      <c r="C81" s="1" t="n">
        <v>45727</v>
      </c>
      <c r="D81" t="inlineStr">
        <is>
          <t>JÖNKÖPINGS LÄN</t>
        </is>
      </c>
      <c r="E81" t="inlineStr">
        <is>
          <t>ANEBY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68039-2019</t>
        </is>
      </c>
      <c r="B82" s="1" t="n">
        <v>43816</v>
      </c>
      <c r="C82" s="1" t="n">
        <v>45727</v>
      </c>
      <c r="D82" t="inlineStr">
        <is>
          <t>JÖNKÖPINGS LÄN</t>
        </is>
      </c>
      <c r="E82" t="inlineStr">
        <is>
          <t>ANEBY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68206-2019</t>
        </is>
      </c>
      <c r="B83" s="1" t="n">
        <v>43817</v>
      </c>
      <c r="C83" s="1" t="n">
        <v>45727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5085-2020</t>
        </is>
      </c>
      <c r="B84" s="1" t="n">
        <v>43859</v>
      </c>
      <c r="C84" s="1" t="n">
        <v>45727</v>
      </c>
      <c r="D84" t="inlineStr">
        <is>
          <t>JÖNKÖPINGS LÄN</t>
        </is>
      </c>
      <c r="E84" t="inlineStr">
        <is>
          <t>ANEBY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5282-2020</t>
        </is>
      </c>
      <c r="B85" s="1" t="n">
        <v>43860</v>
      </c>
      <c r="C85" s="1" t="n">
        <v>45727</v>
      </c>
      <c r="D85" t="inlineStr">
        <is>
          <t>JÖNKÖPINGS LÄN</t>
        </is>
      </c>
      <c r="E85" t="inlineStr">
        <is>
          <t>ANEBY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5497-2020</t>
        </is>
      </c>
      <c r="B86" s="1" t="n">
        <v>43861</v>
      </c>
      <c r="C86" s="1" t="n">
        <v>45727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6369-2020</t>
        </is>
      </c>
      <c r="B87" s="1" t="n">
        <v>43866</v>
      </c>
      <c r="C87" s="1" t="n">
        <v>45727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9050-2020</t>
        </is>
      </c>
      <c r="B88" s="1" t="n">
        <v>43879</v>
      </c>
      <c r="C88" s="1" t="n">
        <v>45727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10133-2020</t>
        </is>
      </c>
      <c r="B89" s="1" t="n">
        <v>43887</v>
      </c>
      <c r="C89" s="1" t="n">
        <v>45727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10128-2020</t>
        </is>
      </c>
      <c r="B90" s="1" t="n">
        <v>43887</v>
      </c>
      <c r="C90" s="1" t="n">
        <v>45727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11292-2020</t>
        </is>
      </c>
      <c r="B91" s="1" t="n">
        <v>43892</v>
      </c>
      <c r="C91" s="1" t="n">
        <v>45727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12719-2020</t>
        </is>
      </c>
      <c r="B92" s="1" t="n">
        <v>43899</v>
      </c>
      <c r="C92" s="1" t="n">
        <v>45727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15459-2020</t>
        </is>
      </c>
      <c r="B93" s="1" t="n">
        <v>43914</v>
      </c>
      <c r="C93" s="1" t="n">
        <v>45727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19658-2020</t>
        </is>
      </c>
      <c r="B94" s="1" t="n">
        <v>43937</v>
      </c>
      <c r="C94" s="1" t="n">
        <v>45727</v>
      </c>
      <c r="D94" t="inlineStr">
        <is>
          <t>JÖNKÖPINGS LÄN</t>
        </is>
      </c>
      <c r="E94" t="inlineStr">
        <is>
          <t>ANEBY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19356-2020</t>
        </is>
      </c>
      <c r="B95" s="1" t="n">
        <v>43938</v>
      </c>
      <c r="C95" s="1" t="n">
        <v>45727</v>
      </c>
      <c r="D95" t="inlineStr">
        <is>
          <t>JÖNKÖPINGS LÄN</t>
        </is>
      </c>
      <c r="E95" t="inlineStr">
        <is>
          <t>ANEBY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19360-2020</t>
        </is>
      </c>
      <c r="B96" s="1" t="n">
        <v>43938</v>
      </c>
      <c r="C96" s="1" t="n">
        <v>45727</v>
      </c>
      <c r="D96" t="inlineStr">
        <is>
          <t>JÖNKÖPINGS LÄN</t>
        </is>
      </c>
      <c r="E96" t="inlineStr">
        <is>
          <t>ANEBY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19351-2020</t>
        </is>
      </c>
      <c r="B97" s="1" t="n">
        <v>43938</v>
      </c>
      <c r="C97" s="1" t="n">
        <v>45727</v>
      </c>
      <c r="D97" t="inlineStr">
        <is>
          <t>JÖNKÖPINGS LÄN</t>
        </is>
      </c>
      <c r="E97" t="inlineStr">
        <is>
          <t>ANEBY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19358-2020</t>
        </is>
      </c>
      <c r="B98" s="1" t="n">
        <v>43938</v>
      </c>
      <c r="C98" s="1" t="n">
        <v>45727</v>
      </c>
      <c r="D98" t="inlineStr">
        <is>
          <t>JÖNKÖPINGS LÄN</t>
        </is>
      </c>
      <c r="E98" t="inlineStr">
        <is>
          <t>ANEBY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20581-2020</t>
        </is>
      </c>
      <c r="B99" s="1" t="n">
        <v>43948</v>
      </c>
      <c r="C99" s="1" t="n">
        <v>45727</v>
      </c>
      <c r="D99" t="inlineStr">
        <is>
          <t>JÖNKÖPINGS LÄN</t>
        </is>
      </c>
      <c r="E99" t="inlineStr">
        <is>
          <t>ANEBY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20711-2020</t>
        </is>
      </c>
      <c r="B100" s="1" t="n">
        <v>43948</v>
      </c>
      <c r="C100" s="1" t="n">
        <v>45727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23584-2020</t>
        </is>
      </c>
      <c r="B101" s="1" t="n">
        <v>43969</v>
      </c>
      <c r="C101" s="1" t="n">
        <v>45727</v>
      </c>
      <c r="D101" t="inlineStr">
        <is>
          <t>JÖNKÖPINGS LÄN</t>
        </is>
      </c>
      <c r="E101" t="inlineStr">
        <is>
          <t>ANEBY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24989-2020</t>
        </is>
      </c>
      <c r="B102" s="1" t="n">
        <v>43979</v>
      </c>
      <c r="C102" s="1" t="n">
        <v>45727</v>
      </c>
      <c r="D102" t="inlineStr">
        <is>
          <t>JÖNKÖPINGS LÄN</t>
        </is>
      </c>
      <c r="E102" t="inlineStr">
        <is>
          <t>ANEBY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25267-2020</t>
        </is>
      </c>
      <c r="B103" s="1" t="n">
        <v>43979</v>
      </c>
      <c r="C103" s="1" t="n">
        <v>45727</v>
      </c>
      <c r="D103" t="inlineStr">
        <is>
          <t>JÖNKÖPINGS LÄN</t>
        </is>
      </c>
      <c r="E103" t="inlineStr">
        <is>
          <t>ANEBY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25851-2020</t>
        </is>
      </c>
      <c r="B104" s="1" t="n">
        <v>43984</v>
      </c>
      <c r="C104" s="1" t="n">
        <v>45727</v>
      </c>
      <c r="D104" t="inlineStr">
        <is>
          <t>JÖNKÖPINGS LÄN</t>
        </is>
      </c>
      <c r="E104" t="inlineStr">
        <is>
          <t>ANEBY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25950-2020</t>
        </is>
      </c>
      <c r="B105" s="1" t="n">
        <v>43985</v>
      </c>
      <c r="C105" s="1" t="n">
        <v>45727</v>
      </c>
      <c r="D105" t="inlineStr">
        <is>
          <t>JÖNKÖPINGS LÄN</t>
        </is>
      </c>
      <c r="E105" t="inlineStr">
        <is>
          <t>ANEBY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25947-2020</t>
        </is>
      </c>
      <c r="B106" s="1" t="n">
        <v>43985</v>
      </c>
      <c r="C106" s="1" t="n">
        <v>45727</v>
      </c>
      <c r="D106" t="inlineStr">
        <is>
          <t>JÖNKÖPINGS LÄN</t>
        </is>
      </c>
      <c r="E106" t="inlineStr">
        <is>
          <t>ANEBY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30282-2020</t>
        </is>
      </c>
      <c r="B107" s="1" t="n">
        <v>44007</v>
      </c>
      <c r="C107" s="1" t="n">
        <v>45727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31526-2020</t>
        </is>
      </c>
      <c r="B108" s="1" t="n">
        <v>44013</v>
      </c>
      <c r="C108" s="1" t="n">
        <v>45727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32547-2020</t>
        </is>
      </c>
      <c r="B109" s="1" t="n">
        <v>44018</v>
      </c>
      <c r="C109" s="1" t="n">
        <v>45727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32566-2020</t>
        </is>
      </c>
      <c r="B110" s="1" t="n">
        <v>44018</v>
      </c>
      <c r="C110" s="1" t="n">
        <v>45727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34325-2020</t>
        </is>
      </c>
      <c r="B111" s="1" t="n">
        <v>44028</v>
      </c>
      <c r="C111" s="1" t="n">
        <v>45727</v>
      </c>
      <c r="D111" t="inlineStr">
        <is>
          <t>JÖNKÖPINGS LÄN</t>
        </is>
      </c>
      <c r="E111" t="inlineStr">
        <is>
          <t>ANEBY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34320-2020</t>
        </is>
      </c>
      <c r="B112" s="1" t="n">
        <v>44028</v>
      </c>
      <c r="C112" s="1" t="n">
        <v>45727</v>
      </c>
      <c r="D112" t="inlineStr">
        <is>
          <t>JÖNKÖPINGS LÄN</t>
        </is>
      </c>
      <c r="E112" t="inlineStr">
        <is>
          <t>ANEBY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36042-2020</t>
        </is>
      </c>
      <c r="B113" s="1" t="n">
        <v>44048</v>
      </c>
      <c r="C113" s="1" t="n">
        <v>45727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36597-2020</t>
        </is>
      </c>
      <c r="B114" s="1" t="n">
        <v>44050</v>
      </c>
      <c r="C114" s="1" t="n">
        <v>45727</v>
      </c>
      <c r="D114" t="inlineStr">
        <is>
          <t>JÖNKÖPINGS LÄN</t>
        </is>
      </c>
      <c r="E114" t="inlineStr">
        <is>
          <t>ANEBY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38221-2020</t>
        </is>
      </c>
      <c r="B115" s="1" t="n">
        <v>44060</v>
      </c>
      <c r="C115" s="1" t="n">
        <v>45727</v>
      </c>
      <c r="D115" t="inlineStr">
        <is>
          <t>JÖNKÖPINGS LÄN</t>
        </is>
      </c>
      <c r="E115" t="inlineStr">
        <is>
          <t>ANEBY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38800-2020</t>
        </is>
      </c>
      <c r="B116" s="1" t="n">
        <v>44062</v>
      </c>
      <c r="C116" s="1" t="n">
        <v>45727</v>
      </c>
      <c r="D116" t="inlineStr">
        <is>
          <t>JÖNKÖPINGS LÄN</t>
        </is>
      </c>
      <c r="E116" t="inlineStr">
        <is>
          <t>ANEBY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41960-2020</t>
        </is>
      </c>
      <c r="B117" s="1" t="n">
        <v>44075</v>
      </c>
      <c r="C117" s="1" t="n">
        <v>45727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42797-2020</t>
        </is>
      </c>
      <c r="B118" s="1" t="n">
        <v>44078</v>
      </c>
      <c r="C118" s="1" t="n">
        <v>45727</v>
      </c>
      <c r="D118" t="inlineStr">
        <is>
          <t>JÖNKÖPINGS LÄN</t>
        </is>
      </c>
      <c r="E118" t="inlineStr">
        <is>
          <t>ANEBY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45007-2020</t>
        </is>
      </c>
      <c r="B119" s="1" t="n">
        <v>44088</v>
      </c>
      <c r="C119" s="1" t="n">
        <v>45727</v>
      </c>
      <c r="D119" t="inlineStr">
        <is>
          <t>JÖNKÖPINGS LÄN</t>
        </is>
      </c>
      <c r="E119" t="inlineStr">
        <is>
          <t>ANEBY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46941-2020</t>
        </is>
      </c>
      <c r="B120" s="1" t="n">
        <v>44096</v>
      </c>
      <c r="C120" s="1" t="n">
        <v>45727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46943-2020</t>
        </is>
      </c>
      <c r="B121" s="1" t="n">
        <v>44096</v>
      </c>
      <c r="C121" s="1" t="n">
        <v>45727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47246-2020</t>
        </is>
      </c>
      <c r="B122" s="1" t="n">
        <v>44097</v>
      </c>
      <c r="C122" s="1" t="n">
        <v>45727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48678-2020</t>
        </is>
      </c>
      <c r="B123" s="1" t="n">
        <v>44098</v>
      </c>
      <c r="C123" s="1" t="n">
        <v>45727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51978-2020</t>
        </is>
      </c>
      <c r="B124" s="1" t="n">
        <v>44116</v>
      </c>
      <c r="C124" s="1" t="n">
        <v>45727</v>
      </c>
      <c r="D124" t="inlineStr">
        <is>
          <t>JÖNKÖPINGS LÄN</t>
        </is>
      </c>
      <c r="E124" t="inlineStr">
        <is>
          <t>ANEBY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54029-2020</t>
        </is>
      </c>
      <c r="B125" s="1" t="n">
        <v>44125</v>
      </c>
      <c r="C125" s="1" t="n">
        <v>45727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55420-2020</t>
        </is>
      </c>
      <c r="B126" s="1" t="n">
        <v>44130</v>
      </c>
      <c r="C126" s="1" t="n">
        <v>45727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60266-2020</t>
        </is>
      </c>
      <c r="B127" s="1" t="n">
        <v>44152</v>
      </c>
      <c r="C127" s="1" t="n">
        <v>45727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61966-2020</t>
        </is>
      </c>
      <c r="B128" s="1" t="n">
        <v>44156</v>
      </c>
      <c r="C128" s="1" t="n">
        <v>45727</v>
      </c>
      <c r="D128" t="inlineStr">
        <is>
          <t>JÖNKÖPINGS LÄN</t>
        </is>
      </c>
      <c r="E128" t="inlineStr">
        <is>
          <t>ANEBY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63030-2020</t>
        </is>
      </c>
      <c r="B129" s="1" t="n">
        <v>44162</v>
      </c>
      <c r="C129" s="1" t="n">
        <v>45727</v>
      </c>
      <c r="D129" t="inlineStr">
        <is>
          <t>JÖNKÖPINGS LÄN</t>
        </is>
      </c>
      <c r="E129" t="inlineStr">
        <is>
          <t>ANEBY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65452-2020</t>
        </is>
      </c>
      <c r="B130" s="1" t="n">
        <v>44169</v>
      </c>
      <c r="C130" s="1" t="n">
        <v>45727</v>
      </c>
      <c r="D130" t="inlineStr">
        <is>
          <t>JÖNKÖPINGS LÄN</t>
        </is>
      </c>
      <c r="E130" t="inlineStr">
        <is>
          <t>ANEBY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67848-2020</t>
        </is>
      </c>
      <c r="B131" s="1" t="n">
        <v>44182</v>
      </c>
      <c r="C131" s="1" t="n">
        <v>45727</v>
      </c>
      <c r="D131" t="inlineStr">
        <is>
          <t>JÖNKÖPINGS LÄN</t>
        </is>
      </c>
      <c r="E131" t="inlineStr">
        <is>
          <t>ANEBY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68400-2020</t>
        </is>
      </c>
      <c r="B132" s="1" t="n">
        <v>44186</v>
      </c>
      <c r="C132" s="1" t="n">
        <v>45727</v>
      </c>
      <c r="D132" t="inlineStr">
        <is>
          <t>JÖNKÖPINGS LÄN</t>
        </is>
      </c>
      <c r="E132" t="inlineStr">
        <is>
          <t>ANEBY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1791-2021</t>
        </is>
      </c>
      <c r="B133" s="1" t="n">
        <v>44210</v>
      </c>
      <c r="C133" s="1" t="n">
        <v>45727</v>
      </c>
      <c r="D133" t="inlineStr">
        <is>
          <t>JÖNKÖPINGS LÄN</t>
        </is>
      </c>
      <c r="E133" t="inlineStr">
        <is>
          <t>ANEBY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5126-2021</t>
        </is>
      </c>
      <c r="B134" s="1" t="n">
        <v>44228</v>
      </c>
      <c r="C134" s="1" t="n">
        <v>45727</v>
      </c>
      <c r="D134" t="inlineStr">
        <is>
          <t>JÖNKÖPINGS LÄN</t>
        </is>
      </c>
      <c r="E134" t="inlineStr">
        <is>
          <t>ANEBY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7919-2021</t>
        </is>
      </c>
      <c r="B135" s="1" t="n">
        <v>44242</v>
      </c>
      <c r="C135" s="1" t="n">
        <v>45727</v>
      </c>
      <c r="D135" t="inlineStr">
        <is>
          <t>JÖNKÖPINGS LÄN</t>
        </is>
      </c>
      <c r="E135" t="inlineStr">
        <is>
          <t>ANEBY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10360-2021</t>
        </is>
      </c>
      <c r="B136" s="1" t="n">
        <v>44257</v>
      </c>
      <c r="C136" s="1" t="n">
        <v>45727</v>
      </c>
      <c r="D136" t="inlineStr">
        <is>
          <t>JÖNKÖPINGS LÄN</t>
        </is>
      </c>
      <c r="E136" t="inlineStr">
        <is>
          <t>ANEBY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12936-2021</t>
        </is>
      </c>
      <c r="B137" s="1" t="n">
        <v>44271</v>
      </c>
      <c r="C137" s="1" t="n">
        <v>45727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14899-2021</t>
        </is>
      </c>
      <c r="B138" s="1" t="n">
        <v>44280</v>
      </c>
      <c r="C138" s="1" t="n">
        <v>45727</v>
      </c>
      <c r="D138" t="inlineStr">
        <is>
          <t>JÖNKÖPINGS LÄN</t>
        </is>
      </c>
      <c r="E138" t="inlineStr">
        <is>
          <t>ANEBY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17561-2021</t>
        </is>
      </c>
      <c r="B139" s="1" t="n">
        <v>44299</v>
      </c>
      <c r="C139" s="1" t="n">
        <v>45727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17981-2021</t>
        </is>
      </c>
      <c r="B140" s="1" t="n">
        <v>44301</v>
      </c>
      <c r="C140" s="1" t="n">
        <v>45727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20128-2021</t>
        </is>
      </c>
      <c r="B141" s="1" t="n">
        <v>44314</v>
      </c>
      <c r="C141" s="1" t="n">
        <v>45727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22285-2021</t>
        </is>
      </c>
      <c r="B142" s="1" t="n">
        <v>44326</v>
      </c>
      <c r="C142" s="1" t="n">
        <v>45727</v>
      </c>
      <c r="D142" t="inlineStr">
        <is>
          <t>JÖNKÖPINGS LÄN</t>
        </is>
      </c>
      <c r="E142" t="inlineStr">
        <is>
          <t>ANEBY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22232-2021</t>
        </is>
      </c>
      <c r="B143" s="1" t="n">
        <v>44326</v>
      </c>
      <c r="C143" s="1" t="n">
        <v>45727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22797-2021</t>
        </is>
      </c>
      <c r="B144" s="1" t="n">
        <v>44327</v>
      </c>
      <c r="C144" s="1" t="n">
        <v>45727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22796-2021</t>
        </is>
      </c>
      <c r="B145" s="1" t="n">
        <v>44327</v>
      </c>
      <c r="C145" s="1" t="n">
        <v>45727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25636-2021</t>
        </is>
      </c>
      <c r="B146" s="1" t="n">
        <v>44343</v>
      </c>
      <c r="C146" s="1" t="n">
        <v>45727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25753-2021</t>
        </is>
      </c>
      <c r="B147" s="1" t="n">
        <v>44343</v>
      </c>
      <c r="C147" s="1" t="n">
        <v>45727</v>
      </c>
      <c r="D147" t="inlineStr">
        <is>
          <t>JÖNKÖPINGS LÄN</t>
        </is>
      </c>
      <c r="E147" t="inlineStr">
        <is>
          <t>ANEBY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28938-2021</t>
        </is>
      </c>
      <c r="B148" s="1" t="n">
        <v>44357</v>
      </c>
      <c r="C148" s="1" t="n">
        <v>45727</v>
      </c>
      <c r="D148" t="inlineStr">
        <is>
          <t>JÖNKÖPINGS LÄN</t>
        </is>
      </c>
      <c r="E148" t="inlineStr">
        <is>
          <t>ANEBY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28942-2021</t>
        </is>
      </c>
      <c r="B149" s="1" t="n">
        <v>44357</v>
      </c>
      <c r="C149" s="1" t="n">
        <v>45727</v>
      </c>
      <c r="D149" t="inlineStr">
        <is>
          <t>JÖNKÖPINGS LÄN</t>
        </is>
      </c>
      <c r="E149" t="inlineStr">
        <is>
          <t>ANEBY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29133-2021</t>
        </is>
      </c>
      <c r="B150" s="1" t="n">
        <v>44358</v>
      </c>
      <c r="C150" s="1" t="n">
        <v>45727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33255-2021</t>
        </is>
      </c>
      <c r="B151" s="1" t="n">
        <v>44377</v>
      </c>
      <c r="C151" s="1" t="n">
        <v>45727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35693-2021</t>
        </is>
      </c>
      <c r="B152" s="1" t="n">
        <v>44386</v>
      </c>
      <c r="C152" s="1" t="n">
        <v>45727</v>
      </c>
      <c r="D152" t="inlineStr">
        <is>
          <t>JÖNKÖPINGS LÄN</t>
        </is>
      </c>
      <c r="E152" t="inlineStr">
        <is>
          <t>ANEBY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35688-2021</t>
        </is>
      </c>
      <c r="B153" s="1" t="n">
        <v>44386</v>
      </c>
      <c r="C153" s="1" t="n">
        <v>45727</v>
      </c>
      <c r="D153" t="inlineStr">
        <is>
          <t>JÖNKÖPINGS LÄN</t>
        </is>
      </c>
      <c r="E153" t="inlineStr">
        <is>
          <t>ANEBY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40849-2021</t>
        </is>
      </c>
      <c r="B154" s="1" t="n">
        <v>44421</v>
      </c>
      <c r="C154" s="1" t="n">
        <v>45727</v>
      </c>
      <c r="D154" t="inlineStr">
        <is>
          <t>JÖNKÖPINGS LÄN</t>
        </is>
      </c>
      <c r="E154" t="inlineStr">
        <is>
          <t>ANEBY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41144-2021</t>
        </is>
      </c>
      <c r="B155" s="1" t="n">
        <v>44423</v>
      </c>
      <c r="C155" s="1" t="n">
        <v>45727</v>
      </c>
      <c r="D155" t="inlineStr">
        <is>
          <t>JÖNKÖPINGS LÄN</t>
        </is>
      </c>
      <c r="E155" t="inlineStr">
        <is>
          <t>ANEBY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41615-2021</t>
        </is>
      </c>
      <c r="B156" s="1" t="n">
        <v>44425</v>
      </c>
      <c r="C156" s="1" t="n">
        <v>45727</v>
      </c>
      <c r="D156" t="inlineStr">
        <is>
          <t>JÖNKÖPINGS LÄN</t>
        </is>
      </c>
      <c r="E156" t="inlineStr">
        <is>
          <t>ANEBY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45283-2021</t>
        </is>
      </c>
      <c r="B157" s="1" t="n">
        <v>44439</v>
      </c>
      <c r="C157" s="1" t="n">
        <v>45727</v>
      </c>
      <c r="D157" t="inlineStr">
        <is>
          <t>JÖNKÖPINGS LÄN</t>
        </is>
      </c>
      <c r="E157" t="inlineStr">
        <is>
          <t>ANEBY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48518-2021</t>
        </is>
      </c>
      <c r="B158" s="1" t="n">
        <v>44452</v>
      </c>
      <c r="C158" s="1" t="n">
        <v>45727</v>
      </c>
      <c r="D158" t="inlineStr">
        <is>
          <t>JÖNKÖPINGS LÄN</t>
        </is>
      </c>
      <c r="E158" t="inlineStr">
        <is>
          <t>ANEBY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49870-2021</t>
        </is>
      </c>
      <c r="B159" s="1" t="n">
        <v>44455</v>
      </c>
      <c r="C159" s="1" t="n">
        <v>45727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49813-2021</t>
        </is>
      </c>
      <c r="B160" s="1" t="n">
        <v>44455</v>
      </c>
      <c r="C160" s="1" t="n">
        <v>45727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49814-2021</t>
        </is>
      </c>
      <c r="B161" s="1" t="n">
        <v>44455</v>
      </c>
      <c r="C161" s="1" t="n">
        <v>45727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51452-2021</t>
        </is>
      </c>
      <c r="B162" s="1" t="n">
        <v>44460</v>
      </c>
      <c r="C162" s="1" t="n">
        <v>45727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51453-2021</t>
        </is>
      </c>
      <c r="B163" s="1" t="n">
        <v>44460</v>
      </c>
      <c r="C163" s="1" t="n">
        <v>45727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51185-2021</t>
        </is>
      </c>
      <c r="B164" s="1" t="n">
        <v>44461</v>
      </c>
      <c r="C164" s="1" t="n">
        <v>45727</v>
      </c>
      <c r="D164" t="inlineStr">
        <is>
          <t>JÖNKÖPINGS LÄN</t>
        </is>
      </c>
      <c r="E164" t="inlineStr">
        <is>
          <t>ANEBY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51160-2021</t>
        </is>
      </c>
      <c r="B165" s="1" t="n">
        <v>44461</v>
      </c>
      <c r="C165" s="1" t="n">
        <v>45727</v>
      </c>
      <c r="D165" t="inlineStr">
        <is>
          <t>JÖNKÖPINGS LÄN</t>
        </is>
      </c>
      <c r="E165" t="inlineStr">
        <is>
          <t>ANEBY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51331-2021</t>
        </is>
      </c>
      <c r="B166" s="1" t="n">
        <v>44461</v>
      </c>
      <c r="C166" s="1" t="n">
        <v>45727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51055-2021</t>
        </is>
      </c>
      <c r="B167" s="1" t="n">
        <v>44461</v>
      </c>
      <c r="C167" s="1" t="n">
        <v>45727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52502-2021</t>
        </is>
      </c>
      <c r="B168" s="1" t="n">
        <v>44466</v>
      </c>
      <c r="C168" s="1" t="n">
        <v>45727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56020-2021</t>
        </is>
      </c>
      <c r="B169" s="1" t="n">
        <v>44477</v>
      </c>
      <c r="C169" s="1" t="n">
        <v>45727</v>
      </c>
      <c r="D169" t="inlineStr">
        <is>
          <t>JÖNKÖPINGS LÄN</t>
        </is>
      </c>
      <c r="E169" t="inlineStr">
        <is>
          <t>ANEBY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56366-2021</t>
        </is>
      </c>
      <c r="B170" s="1" t="n">
        <v>44480</v>
      </c>
      <c r="C170" s="1" t="n">
        <v>45727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56735-2021</t>
        </is>
      </c>
      <c r="B171" s="1" t="n">
        <v>44481</v>
      </c>
      <c r="C171" s="1" t="n">
        <v>45727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57170-2021</t>
        </is>
      </c>
      <c r="B172" s="1" t="n">
        <v>44482</v>
      </c>
      <c r="C172" s="1" t="n">
        <v>45727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57171-2021</t>
        </is>
      </c>
      <c r="B173" s="1" t="n">
        <v>44482</v>
      </c>
      <c r="C173" s="1" t="n">
        <v>45727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57626-2021</t>
        </is>
      </c>
      <c r="B174" s="1" t="n">
        <v>44484</v>
      </c>
      <c r="C174" s="1" t="n">
        <v>45727</v>
      </c>
      <c r="D174" t="inlineStr">
        <is>
          <t>JÖNKÖPINGS LÄN</t>
        </is>
      </c>
      <c r="E174" t="inlineStr">
        <is>
          <t>ANEBY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61064-2021</t>
        </is>
      </c>
      <c r="B175" s="1" t="n">
        <v>44497</v>
      </c>
      <c r="C175" s="1" t="n">
        <v>45727</v>
      </c>
      <c r="D175" t="inlineStr">
        <is>
          <t>JÖNKÖPINGS LÄN</t>
        </is>
      </c>
      <c r="E175" t="inlineStr">
        <is>
          <t>ANEBY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62354-2021</t>
        </is>
      </c>
      <c r="B176" s="1" t="n">
        <v>44503</v>
      </c>
      <c r="C176" s="1" t="n">
        <v>45727</v>
      </c>
      <c r="D176" t="inlineStr">
        <is>
          <t>JÖNKÖPINGS LÄN</t>
        </is>
      </c>
      <c r="E176" t="inlineStr">
        <is>
          <t>ANEBY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66800-2021</t>
        </is>
      </c>
      <c r="B177" s="1" t="n">
        <v>44522</v>
      </c>
      <c r="C177" s="1" t="n">
        <v>45727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67414-2021</t>
        </is>
      </c>
      <c r="B178" s="1" t="n">
        <v>44524</v>
      </c>
      <c r="C178" s="1" t="n">
        <v>45727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67417-2021</t>
        </is>
      </c>
      <c r="B179" s="1" t="n">
        <v>44524</v>
      </c>
      <c r="C179" s="1" t="n">
        <v>45727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69564-2021</t>
        </is>
      </c>
      <c r="B180" s="1" t="n">
        <v>44532</v>
      </c>
      <c r="C180" s="1" t="n">
        <v>45727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69562-2021</t>
        </is>
      </c>
      <c r="B181" s="1" t="n">
        <v>44532</v>
      </c>
      <c r="C181" s="1" t="n">
        <v>45727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69843-2021</t>
        </is>
      </c>
      <c r="B182" s="1" t="n">
        <v>44532</v>
      </c>
      <c r="C182" s="1" t="n">
        <v>45727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70353-2021</t>
        </is>
      </c>
      <c r="B183" s="1" t="n">
        <v>44533</v>
      </c>
      <c r="C183" s="1" t="n">
        <v>45727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71143-2021</t>
        </is>
      </c>
      <c r="B184" s="1" t="n">
        <v>44539</v>
      </c>
      <c r="C184" s="1" t="n">
        <v>45727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73166-2021</t>
        </is>
      </c>
      <c r="B185" s="1" t="n">
        <v>44550</v>
      </c>
      <c r="C185" s="1" t="n">
        <v>45727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73572-2021</t>
        </is>
      </c>
      <c r="B186" s="1" t="n">
        <v>44550</v>
      </c>
      <c r="C186" s="1" t="n">
        <v>45727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395-2022</t>
        </is>
      </c>
      <c r="B187" s="1" t="n">
        <v>44565</v>
      </c>
      <c r="C187" s="1" t="n">
        <v>45727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406-2022</t>
        </is>
      </c>
      <c r="B188" s="1" t="n">
        <v>44565</v>
      </c>
      <c r="C188" s="1" t="n">
        <v>45727</v>
      </c>
      <c r="D188" t="inlineStr">
        <is>
          <t>JÖNKÖPINGS LÄN</t>
        </is>
      </c>
      <c r="E188" t="inlineStr">
        <is>
          <t>ANEBY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447-2022</t>
        </is>
      </c>
      <c r="B189" s="1" t="n">
        <v>44566</v>
      </c>
      <c r="C189" s="1" t="n">
        <v>45727</v>
      </c>
      <c r="D189" t="inlineStr">
        <is>
          <t>JÖNKÖPINGS LÄN</t>
        </is>
      </c>
      <c r="E189" t="inlineStr">
        <is>
          <t>ANEBY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2199-2022</t>
        </is>
      </c>
      <c r="B190" s="1" t="n">
        <v>44578</v>
      </c>
      <c r="C190" s="1" t="n">
        <v>45727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3523-2022</t>
        </is>
      </c>
      <c r="B191" s="1" t="n">
        <v>44585</v>
      </c>
      <c r="C191" s="1" t="n">
        <v>45727</v>
      </c>
      <c r="D191" t="inlineStr">
        <is>
          <t>JÖNKÖPINGS LÄN</t>
        </is>
      </c>
      <c r="E191" t="inlineStr">
        <is>
          <t>ANEBY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4620-2022</t>
        </is>
      </c>
      <c r="B192" s="1" t="n">
        <v>44592</v>
      </c>
      <c r="C192" s="1" t="n">
        <v>45727</v>
      </c>
      <c r="D192" t="inlineStr">
        <is>
          <t>JÖNKÖPINGS LÄN</t>
        </is>
      </c>
      <c r="E192" t="inlineStr">
        <is>
          <t>ANEBY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4809-2022</t>
        </is>
      </c>
      <c r="B193" s="1" t="n">
        <v>44592</v>
      </c>
      <c r="C193" s="1" t="n">
        <v>45727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6743-2022</t>
        </is>
      </c>
      <c r="B194" s="1" t="n">
        <v>44602</v>
      </c>
      <c r="C194" s="1" t="n">
        <v>45727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6750-2022</t>
        </is>
      </c>
      <c r="B195" s="1" t="n">
        <v>44602</v>
      </c>
      <c r="C195" s="1" t="n">
        <v>45727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7358-2022</t>
        </is>
      </c>
      <c r="B196" s="1" t="n">
        <v>44606</v>
      </c>
      <c r="C196" s="1" t="n">
        <v>45727</v>
      </c>
      <c r="D196" t="inlineStr">
        <is>
          <t>JÖNKÖPINGS LÄN</t>
        </is>
      </c>
      <c r="E196" t="inlineStr">
        <is>
          <t>ANEBY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7380-2022</t>
        </is>
      </c>
      <c r="B197" s="1" t="n">
        <v>44606</v>
      </c>
      <c r="C197" s="1" t="n">
        <v>45727</v>
      </c>
      <c r="D197" t="inlineStr">
        <is>
          <t>JÖNKÖPINGS LÄN</t>
        </is>
      </c>
      <c r="E197" t="inlineStr">
        <is>
          <t>ANEBY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7471-2022</t>
        </is>
      </c>
      <c r="B198" s="1" t="n">
        <v>44606</v>
      </c>
      <c r="C198" s="1" t="n">
        <v>45727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7451-2022</t>
        </is>
      </c>
      <c r="B199" s="1" t="n">
        <v>44606</v>
      </c>
      <c r="C199" s="1" t="n">
        <v>45727</v>
      </c>
      <c r="D199" t="inlineStr">
        <is>
          <t>JÖNKÖPINGS LÄN</t>
        </is>
      </c>
      <c r="E199" t="inlineStr">
        <is>
          <t>ANEBY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7461-2022</t>
        </is>
      </c>
      <c r="B200" s="1" t="n">
        <v>44606</v>
      </c>
      <c r="C200" s="1" t="n">
        <v>45727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7586-2022</t>
        </is>
      </c>
      <c r="B201" s="1" t="n">
        <v>44607</v>
      </c>
      <c r="C201" s="1" t="n">
        <v>45727</v>
      </c>
      <c r="D201" t="inlineStr">
        <is>
          <t>JÖNKÖPINGS LÄN</t>
        </is>
      </c>
      <c r="E201" t="inlineStr">
        <is>
          <t>ANEBY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9459-2022</t>
        </is>
      </c>
      <c r="B202" s="1" t="n">
        <v>44616</v>
      </c>
      <c r="C202" s="1" t="n">
        <v>45727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9916-2022</t>
        </is>
      </c>
      <c r="B203" s="1" t="n">
        <v>44620</v>
      </c>
      <c r="C203" s="1" t="n">
        <v>45727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9917-2022</t>
        </is>
      </c>
      <c r="B204" s="1" t="n">
        <v>44620</v>
      </c>
      <c r="C204" s="1" t="n">
        <v>45727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10022-2022</t>
        </is>
      </c>
      <c r="B205" s="1" t="n">
        <v>44621</v>
      </c>
      <c r="C205" s="1" t="n">
        <v>45727</v>
      </c>
      <c r="D205" t="inlineStr">
        <is>
          <t>JÖNKÖPINGS LÄN</t>
        </is>
      </c>
      <c r="E205" t="inlineStr">
        <is>
          <t>ANEBY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10463-2022</t>
        </is>
      </c>
      <c r="B206" s="1" t="n">
        <v>44623</v>
      </c>
      <c r="C206" s="1" t="n">
        <v>45727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10682-2022</t>
        </is>
      </c>
      <c r="B207" s="1" t="n">
        <v>44624</v>
      </c>
      <c r="C207" s="1" t="n">
        <v>45727</v>
      </c>
      <c r="D207" t="inlineStr">
        <is>
          <t>JÖNKÖPINGS LÄN</t>
        </is>
      </c>
      <c r="E207" t="inlineStr">
        <is>
          <t>ANEBY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10683-2022</t>
        </is>
      </c>
      <c r="B208" s="1" t="n">
        <v>44624</v>
      </c>
      <c r="C208" s="1" t="n">
        <v>45727</v>
      </c>
      <c r="D208" t="inlineStr">
        <is>
          <t>JÖNKÖPINGS LÄN</t>
        </is>
      </c>
      <c r="E208" t="inlineStr">
        <is>
          <t>ANEBY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16507-2022</t>
        </is>
      </c>
      <c r="B209" s="1" t="n">
        <v>44671</v>
      </c>
      <c r="C209" s="1" t="n">
        <v>45727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45727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45727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45727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45727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45727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45727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45727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45727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45727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45727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45727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45727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45727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45727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45727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45727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45727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45727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45727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45727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45727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45727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45727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45727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45727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45727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45727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45727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45727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45727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45727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45727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45727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45727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45727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45727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45727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45727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45727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45727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45727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45727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45727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45727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45727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45727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45727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45727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45727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45727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45727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45727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45727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45727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45727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45727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45727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45727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45727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45727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45727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45727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45727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45727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45727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45727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45727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45727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45727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45727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45727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45727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45727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45727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45727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45727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45727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45727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45727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45727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45727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45727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45727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45727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45727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45727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45727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45727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45727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45727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45727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45727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45727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45727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45727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45727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45727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45727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45727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45727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45727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45727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45727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45727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45727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45727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45727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45727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45727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45727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45727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45727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45727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45727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45727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45727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45727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45727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45727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45727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45727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45727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45727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45727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45727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45727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45727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45727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45727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45727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45727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45727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45727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45727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45727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45727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45727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45727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45727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45727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45727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45727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45727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45727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45727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45727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45727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45727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45727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45727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45727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45727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45727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45727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45727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45727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45727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45727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45727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45727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45727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45727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45727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45727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45727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45727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45727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45727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45727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45727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45727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45727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45727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45727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45727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45727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45727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45727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45727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45727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45727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45727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45727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45727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45727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45727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45727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45727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45727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45727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45727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45727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45727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45727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45727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45727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45727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45727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45727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45727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45727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45727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45727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45727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45727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45727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45727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45727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45727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45727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45727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45727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45727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45727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45727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45727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45727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45727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45727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45727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45727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45727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45727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45727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45727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45727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45727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45727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45727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45727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45727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45727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45727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45727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45727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45727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45727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45727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45727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45727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45727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45727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45727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45727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45727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45727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45727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45727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45727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45727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45727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45727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45727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45727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45727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45727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45727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45727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45727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45727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45727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45727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45727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45727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45727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45727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45727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45727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45727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45727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45727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45727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45727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45727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45727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45727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45727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45727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45727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45727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45727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45727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45727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45727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45727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45727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45727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45727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45727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45727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45727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45727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45727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45727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45727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45727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45727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45727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45727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45727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45727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45727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45727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45727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45727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45727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45727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45727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45727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45727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45727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45727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45727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45727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45727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45727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45727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45727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45727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45727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45727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45727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45727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45727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45727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45727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45727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45727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45727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45727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45727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45727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45727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45727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45727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45727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45727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45727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45727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45727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45727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45727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45727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45727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45727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45727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45727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45727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45727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45727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45727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45727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45727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45727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45727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45727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45727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45727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45727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45727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45727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45727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45727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45727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45727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45727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45727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45727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45727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45727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45727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45727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45727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45727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45727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45727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45727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45727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45727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45727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45727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45727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45727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45727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45727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45727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45727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45727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45727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45727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45727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45727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45727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7945-2025</t>
        </is>
      </c>
      <c r="B603" s="1" t="n">
        <v>45707</v>
      </c>
      <c r="C603" s="1" t="n">
        <v>45727</v>
      </c>
      <c r="D603" t="inlineStr">
        <is>
          <t>JÖNKÖPINGS LÄN</t>
        </is>
      </c>
      <c r="E603" t="inlineStr">
        <is>
          <t>ANEBY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7969-2025</t>
        </is>
      </c>
      <c r="B604" s="1" t="n">
        <v>45707</v>
      </c>
      <c r="C604" s="1" t="n">
        <v>45727</v>
      </c>
      <c r="D604" t="inlineStr">
        <is>
          <t>JÖNKÖPINGS LÄN</t>
        </is>
      </c>
      <c r="E604" t="inlineStr">
        <is>
          <t>ANEBY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7954-2025</t>
        </is>
      </c>
      <c r="B605" s="1" t="n">
        <v>45707</v>
      </c>
      <c r="C605" s="1" t="n">
        <v>45727</v>
      </c>
      <c r="D605" t="inlineStr">
        <is>
          <t>JÖNKÖPINGS LÄN</t>
        </is>
      </c>
      <c r="E605" t="inlineStr">
        <is>
          <t>ANEBY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45727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45727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45727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45727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45727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45727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45727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10576-2025</t>
        </is>
      </c>
      <c r="B613" s="1" t="n">
        <v>45721</v>
      </c>
      <c r="C613" s="1" t="n">
        <v>45727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2025-03-11T17:07:14Z</dcterms:created>
  <dcterms:modified xmlns:dcterms="http://purl.org/dc/terms/" xmlns:xsi="http://www.w3.org/2001/XMLSchema-instance" xsi:type="dcterms:W3CDTF">2025-03-11T17:07:15Z</dcterms:modified>
</cp:coreProperties>
</file>