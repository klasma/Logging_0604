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46266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46266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46266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46266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46266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46266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46266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46266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46266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46266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46266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48560-2025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45936</v>
      </c>
      <c r="E26" s="1" t="n">
        <v>46266</v>
      </c>
      <c r="F26" t="inlineStr">
        <is>
          <t>JÖNKÖPINGS LÄN</t>
        </is>
      </c>
      <c r="G26" t="inlineStr">
        <is>
          <t>ANEBY</t>
        </is>
      </c>
      <c r="I26" t="n">
        <v>0.4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Dofttaggsvamp</t>
        </is>
      </c>
      <c r="W26">
        <f>HYPERLINK("https://klasma.github.io/Logging_0604/artfynd/A 48560-2025 artfynd.xlsx", "A 48560-2025")</f>
        <v/>
      </c>
      <c r="X26">
        <f>HYPERLINK("https://klasma.github.io/Logging_0604/kartor/A 48560-2025 karta.png", "A 48560-2025")</f>
        <v/>
      </c>
      <c r="Y26">
        <f>HYPERLINK("https://klasma.github.io/Logging_0604/kartor_geotiff/A 48560-2025 georefererad karta.tif", "A 48560-2025")</f>
        <v/>
      </c>
      <c r="AA26">
        <f>HYPERLINK("https://klasma.github.io/Logging_0604/klagomål/A 48560-2025 FSC-klagomål.docx", "A 48560-2025")</f>
        <v/>
      </c>
      <c r="AB26">
        <f>HYPERLINK("https://klasma.github.io/Logging_0604/klagomålsmail/A 48560-2025 FSC-klagomål mail.docx", "A 48560-2025")</f>
        <v/>
      </c>
      <c r="AC26">
        <f>HYPERLINK("https://klasma.github.io/Logging_0604/tillsyn/A 48560-2025 tillsynsbegäran.docx", "A 48560-2025")</f>
        <v/>
      </c>
      <c r="AD26">
        <f>HYPERLINK("https://klasma.github.io/Logging_0604/tillsynsmail/A 48560-2025 tillsynsbegäran mail.docx", "A 48560-2025")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46266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28452-2022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46266</v>
      </c>
      <c r="F28" t="inlineStr">
        <is>
          <t>JÖNKÖPINGS LÄN</t>
        </is>
      </c>
      <c r="G28" t="inlineStr">
        <is>
          <t>ANEBY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Odontocerum albicorne</t>
        </is>
      </c>
      <c r="W28">
        <f>HYPERLINK("https://klasma.github.io/Logging_0604/artfynd/A 28452-2022 artfynd.xlsx", "A 28452-2022")</f>
        <v/>
      </c>
      <c r="X28">
        <f>HYPERLINK("https://klasma.github.io/Logging_0604/kartor/A 28452-2022 karta.png", "A 28452-2022")</f>
        <v/>
      </c>
      <c r="Y28">
        <f>HYPERLINK("https://klasma.github.io/Logging_0604/kartor_geotiff/A 28452-2022 georefererad karta.tif", "A 28452-2022")</f>
        <v/>
      </c>
      <c r="AA28">
        <f>HYPERLINK("https://klasma.github.io/Logging_0604/klagomål/A 28452-2022 FSC-klagomål.docx", "A 28452-2022")</f>
        <v/>
      </c>
      <c r="AB28">
        <f>HYPERLINK("https://klasma.github.io/Logging_0604/klagomålsmail/A 28452-2022 FSC-klagomål mail.docx", "A 28452-2022")</f>
        <v/>
      </c>
      <c r="AC28">
        <f>HYPERLINK("https://klasma.github.io/Logging_0604/tillsyn/A 28452-2022 tillsynsbegäran.docx", "A 28452-2022")</f>
        <v/>
      </c>
      <c r="AD28">
        <f>HYPERLINK("https://klasma.github.io/Logging_0604/tillsynsmail/A 28452-2022 tillsynsbegäran mail.docx", "A 28452-2022")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46266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46266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46266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46266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46266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46266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46266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46266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46266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46266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46266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46266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46266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46266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70353-2021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44533</v>
      </c>
      <c r="E43" s="1" t="n">
        <v>46266</v>
      </c>
      <c r="F43" t="inlineStr">
        <is>
          <t>JÖNKÖPINGS LÄN</t>
        </is>
      </c>
      <c r="G43" t="inlineStr">
        <is>
          <t>ANEBY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69843-2021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44532</v>
      </c>
      <c r="E44" s="1" t="n">
        <v>46266</v>
      </c>
      <c r="F44" t="inlineStr">
        <is>
          <t>JÖNKÖPINGS LÄN</t>
        </is>
      </c>
      <c r="G44" t="inlineStr">
        <is>
          <t>ANEBY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46266</v>
      </c>
      <c r="F45" t="inlineStr">
        <is>
          <t>JÖNKÖPINGS LÄN</t>
        </is>
      </c>
      <c r="G45" t="inlineStr">
        <is>
          <t>ANEBY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46266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46266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46266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46266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46266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46266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46266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46266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46266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46266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46266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46266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46266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46266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46266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46266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46266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46266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46266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46266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46266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46266</v>
      </c>
      <c r="F74" t="inlineStr">
        <is>
          <t>JÖNKÖPINGS LÄN</t>
        </is>
      </c>
      <c r="G74" t="inlineStr">
        <is>
          <t>ANEBY</t>
        </is>
      </c>
      <c r="H74" t="inlineStr">
        <is>
          <t>Kyrkan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46266</v>
      </c>
      <c r="F75" t="inlineStr">
        <is>
          <t>JÖNKÖPINGS LÄN</t>
        </is>
      </c>
      <c r="G75" t="inlineStr">
        <is>
          <t>ANEBY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46266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46266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46266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46266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46266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46266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46266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45775</v>
      </c>
      <c r="E83" s="1" t="n">
        <v>46266</v>
      </c>
      <c r="F83" t="inlineStr">
        <is>
          <t>JÖNKÖPINGS LÄN</t>
        </is>
      </c>
      <c r="G83" t="inlineStr">
        <is>
          <t>ANEBY</t>
        </is>
      </c>
      <c r="H83" t="inlineStr">
        <is>
          <t>Kyrkan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46266</v>
      </c>
      <c r="F84" t="inlineStr">
        <is>
          <t>JÖNKÖPINGS LÄN</t>
        </is>
      </c>
      <c r="G84" t="inlineStr">
        <is>
          <t>ANEBY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46266</v>
      </c>
      <c r="F85" t="inlineStr">
        <is>
          <t>JÖNKÖPINGS LÄN</t>
        </is>
      </c>
      <c r="G85" t="inlineStr">
        <is>
          <t>ANEBY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45001</v>
      </c>
      <c r="E86" s="1" t="n">
        <v>46266</v>
      </c>
      <c r="F86" t="inlineStr">
        <is>
          <t>JÖNKÖPINGS LÄN</t>
        </is>
      </c>
      <c r="G86" t="inlineStr">
        <is>
          <t>ANEBY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19362-2025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45769</v>
      </c>
      <c r="E87" s="1" t="n">
        <v>46266</v>
      </c>
      <c r="F87" t="inlineStr">
        <is>
          <t>JÖNKÖPINGS LÄN</t>
        </is>
      </c>
      <c r="G87" t="inlineStr">
        <is>
          <t>ANEBY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46266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46266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46266</v>
      </c>
      <c r="F90" t="inlineStr">
        <is>
          <t>JÖNKÖPINGS LÄN</t>
        </is>
      </c>
      <c r="G90" t="inlineStr">
        <is>
          <t>ANEBY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46266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46266</v>
      </c>
      <c r="F92" t="inlineStr">
        <is>
          <t>JÖNKÖPINGS LÄN</t>
        </is>
      </c>
      <c r="G92" t="inlineStr">
        <is>
          <t>ANEBY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46266</v>
      </c>
      <c r="F93" t="inlineStr">
        <is>
          <t>JÖNKÖPINGS LÄN</t>
        </is>
      </c>
      <c r="G93" t="inlineStr">
        <is>
          <t>ANEBY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46266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46266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45365</v>
      </c>
      <c r="E96" s="1" t="n">
        <v>46266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46266</v>
      </c>
      <c r="F97" t="inlineStr">
        <is>
          <t>JÖNKÖPINGS LÄN</t>
        </is>
      </c>
      <c r="G97" t="inlineStr">
        <is>
          <t>ANEBY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46266</v>
      </c>
      <c r="F98" t="inlineStr">
        <is>
          <t>JÖNKÖPINGS LÄN</t>
        </is>
      </c>
      <c r="G98" t="inlineStr">
        <is>
          <t>ANEBY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46266</v>
      </c>
      <c r="F99" t="inlineStr">
        <is>
          <t>JÖNKÖPINGS LÄN</t>
        </is>
      </c>
      <c r="G99" t="inlineStr">
        <is>
          <t>ANEBY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45889</v>
      </c>
      <c r="E100" s="1" t="n">
        <v>46266</v>
      </c>
      <c r="F100" t="inlineStr">
        <is>
          <t>JÖNKÖPINGS LÄN</t>
        </is>
      </c>
      <c r="G100" t="inlineStr">
        <is>
          <t>ANEBY</t>
        </is>
      </c>
      <c r="I100" t="n">
        <v>10.1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46266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46266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45398</v>
      </c>
      <c r="E103" s="1" t="n">
        <v>46266</v>
      </c>
      <c r="F103" t="inlineStr">
        <is>
          <t>JÖNKÖPINGS LÄN</t>
        </is>
      </c>
      <c r="G103" t="inlineStr">
        <is>
          <t>ANEBY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46266</v>
      </c>
      <c r="F104" t="inlineStr">
        <is>
          <t>JÖNKÖPINGS LÄN</t>
        </is>
      </c>
      <c r="G104" t="inlineStr">
        <is>
          <t>ANEBY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45384</v>
      </c>
      <c r="E105" s="1" t="n">
        <v>46266</v>
      </c>
      <c r="F105" t="inlineStr">
        <is>
          <t>JÖNKÖPINGS LÄN</t>
        </is>
      </c>
      <c r="G105" t="inlineStr">
        <is>
          <t>ANEBY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45205</v>
      </c>
      <c r="E106" s="1" t="n">
        <v>46266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46266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46266</v>
      </c>
      <c r="F108" t="inlineStr">
        <is>
          <t>JÖNKÖPINGS LÄN</t>
        </is>
      </c>
      <c r="G108" t="inlineStr">
        <is>
          <t>ANEBY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46266</v>
      </c>
      <c r="F109" t="inlineStr">
        <is>
          <t>JÖNKÖPINGS LÄN</t>
        </is>
      </c>
      <c r="G109" t="inlineStr">
        <is>
          <t>ANEBY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46266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46266</v>
      </c>
      <c r="F111" t="inlineStr">
        <is>
          <t>JÖNKÖPINGS LÄN</t>
        </is>
      </c>
      <c r="G111" t="inlineStr">
        <is>
          <t>ANEBY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46266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35555-2024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45531</v>
      </c>
      <c r="E113" s="1" t="n">
        <v>46266</v>
      </c>
      <c r="F113" t="inlineStr">
        <is>
          <t>JÖNKÖPINGS LÄN</t>
        </is>
      </c>
      <c r="G113" t="inlineStr">
        <is>
          <t>ANEBY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46266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46266</v>
      </c>
      <c r="F115" t="inlineStr">
        <is>
          <t>JÖNKÖPINGS LÄN</t>
        </is>
      </c>
      <c r="G115" t="inlineStr">
        <is>
          <t>ANEBY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46266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45300</v>
      </c>
      <c r="E117" s="1" t="n">
        <v>46266</v>
      </c>
      <c r="F117" t="inlineStr">
        <is>
          <t>JÖNKÖPINGS LÄN</t>
        </is>
      </c>
      <c r="G117" t="inlineStr">
        <is>
          <t>ANEBY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43528-2025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45911</v>
      </c>
      <c r="E118" s="1" t="n">
        <v>46266</v>
      </c>
      <c r="F118" t="inlineStr">
        <is>
          <t>JÖNKÖPINGS LÄN</t>
        </is>
      </c>
      <c r="G118" t="inlineStr">
        <is>
          <t>ANEBY</t>
        </is>
      </c>
      <c r="H118" t="inlineStr">
        <is>
          <t>Övriga Aktiebolag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46266</v>
      </c>
      <c r="F119" t="inlineStr">
        <is>
          <t>JÖNKÖPINGS LÄN</t>
        </is>
      </c>
      <c r="G119" t="inlineStr">
        <is>
          <t>ANEBY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11565-2025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45727</v>
      </c>
      <c r="E120" s="1" t="n">
        <v>46266</v>
      </c>
      <c r="F120" t="inlineStr">
        <is>
          <t>JÖNKÖPINGS LÄN</t>
        </is>
      </c>
      <c r="G120" t="inlineStr">
        <is>
          <t>ANEBY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46266</v>
      </c>
      <c r="F121" t="inlineStr">
        <is>
          <t>JÖNKÖPINGS LÄN</t>
        </is>
      </c>
      <c r="G121" t="inlineStr">
        <is>
          <t>ANEBY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46266</v>
      </c>
      <c r="F122" t="inlineStr">
        <is>
          <t>JÖNKÖPINGS LÄN</t>
        </is>
      </c>
      <c r="G122" t="inlineStr">
        <is>
          <t>ANEBY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45924</v>
      </c>
      <c r="E123" s="1" t="n">
        <v>46266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45461</v>
      </c>
      <c r="E124" s="1" t="n">
        <v>46266</v>
      </c>
      <c r="F124" t="inlineStr">
        <is>
          <t>JÖNKÖPINGS LÄN</t>
        </is>
      </c>
      <c r="G124" t="inlineStr">
        <is>
          <t>ANEBY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46266</v>
      </c>
      <c r="F125" t="inlineStr">
        <is>
          <t>JÖNKÖPINGS LÄN</t>
        </is>
      </c>
      <c r="G125" t="inlineStr">
        <is>
          <t>ANEBY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45141</v>
      </c>
      <c r="E126" s="1" t="n">
        <v>46266</v>
      </c>
      <c r="F126" t="inlineStr">
        <is>
          <t>JÖNKÖPINGS LÄN</t>
        </is>
      </c>
      <c r="G126" t="inlineStr">
        <is>
          <t>ANEBY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46266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46266</v>
      </c>
      <c r="F128" t="inlineStr">
        <is>
          <t>JÖNKÖPINGS LÄN</t>
        </is>
      </c>
      <c r="G128" t="inlineStr">
        <is>
          <t>ANEBY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46266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16.8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46266</v>
      </c>
      <c r="F130" t="inlineStr">
        <is>
          <t>JÖNKÖPINGS LÄN</t>
        </is>
      </c>
      <c r="G130" t="inlineStr">
        <is>
          <t>ANEBY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46266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45300</v>
      </c>
      <c r="E132" s="1" t="n">
        <v>46266</v>
      </c>
      <c r="F132" t="inlineStr">
        <is>
          <t>JÖNKÖPINGS LÄN</t>
        </is>
      </c>
      <c r="G132" t="inlineStr">
        <is>
          <t>ANEBY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46266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46266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45304</v>
      </c>
      <c r="E135" s="1" t="n">
        <v>46266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46266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46266</v>
      </c>
      <c r="F137" t="inlineStr">
        <is>
          <t>JÖNKÖPINGS LÄN</t>
        </is>
      </c>
      <c r="G137" t="inlineStr">
        <is>
          <t>ANEBY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45475</v>
      </c>
      <c r="E138" s="1" t="n">
        <v>46266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46266</v>
      </c>
      <c r="F139" t="inlineStr">
        <is>
          <t>JÖNKÖPINGS LÄN</t>
        </is>
      </c>
      <c r="G139" t="inlineStr">
        <is>
          <t>ANEBY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46266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46266</v>
      </c>
      <c r="F141" t="inlineStr">
        <is>
          <t>JÖNKÖPINGS LÄN</t>
        </is>
      </c>
      <c r="G141" t="inlineStr">
        <is>
          <t>ANEBY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45586</v>
      </c>
      <c r="E142" s="1" t="n">
        <v>46266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46266</v>
      </c>
      <c r="F143" t="inlineStr">
        <is>
          <t>JÖNKÖPINGS LÄN</t>
        </is>
      </c>
      <c r="G143" t="inlineStr">
        <is>
          <t>ANEBY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44860</v>
      </c>
      <c r="E144" s="1" t="n">
        <v>46266</v>
      </c>
      <c r="F144" t="inlineStr">
        <is>
          <t>JÖNKÖPINGS LÄN</t>
        </is>
      </c>
      <c r="G144" t="inlineStr">
        <is>
          <t>ANEBY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46266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45020</v>
      </c>
      <c r="E146" s="1" t="n">
        <v>46266</v>
      </c>
      <c r="F146" t="inlineStr">
        <is>
          <t>JÖNKÖPINGS LÄN</t>
        </is>
      </c>
      <c r="G146" t="inlineStr">
        <is>
          <t>ANEBY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46266</v>
      </c>
      <c r="F147" t="inlineStr">
        <is>
          <t>JÖNKÖPINGS LÄN</t>
        </is>
      </c>
      <c r="G147" t="inlineStr">
        <is>
          <t>ANEBY</t>
        </is>
      </c>
      <c r="H147" t="inlineStr">
        <is>
          <t>Sveaskog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46266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46266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46266</v>
      </c>
      <c r="F150" t="inlineStr">
        <is>
          <t>JÖNKÖPINGS LÄN</t>
        </is>
      </c>
      <c r="G150" t="inlineStr">
        <is>
          <t>ANEBY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46266</v>
      </c>
      <c r="F151" t="inlineStr">
        <is>
          <t>JÖNKÖPINGS LÄN</t>
        </is>
      </c>
      <c r="G151" t="inlineStr">
        <is>
          <t>ANEBY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46266</v>
      </c>
      <c r="F152" t="inlineStr">
        <is>
          <t>JÖNKÖPINGS LÄN</t>
        </is>
      </c>
      <c r="G152" t="inlineStr">
        <is>
          <t>ANEBY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45967</v>
      </c>
      <c r="E153" s="1" t="n">
        <v>46266</v>
      </c>
      <c r="F153" t="inlineStr">
        <is>
          <t>JÖNKÖPINGS LÄN</t>
        </is>
      </c>
      <c r="G153" t="inlineStr">
        <is>
          <t>ANEBY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46266</v>
      </c>
      <c r="F154" t="inlineStr">
        <is>
          <t>JÖNKÖPINGS LÄN</t>
        </is>
      </c>
      <c r="G154" t="inlineStr">
        <is>
          <t>ANEBY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45124</v>
      </c>
      <c r="E155" s="1" t="n">
        <v>46266</v>
      </c>
      <c r="F155" t="inlineStr">
        <is>
          <t>JÖNKÖPINGS LÄN</t>
        </is>
      </c>
      <c r="G155" t="inlineStr">
        <is>
          <t>ANEBY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57170-2021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46266</v>
      </c>
      <c r="F156" t="inlineStr">
        <is>
          <t>JÖNKÖPINGS LÄN</t>
        </is>
      </c>
      <c r="G156" t="inlineStr">
        <is>
          <t>ANEBY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46266</v>
      </c>
      <c r="F157" t="inlineStr">
        <is>
          <t>JÖNKÖPINGS LÄN</t>
        </is>
      </c>
      <c r="G157" t="inlineStr">
        <is>
          <t>ANEBY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45148</v>
      </c>
      <c r="E158" s="1" t="n">
        <v>46266</v>
      </c>
      <c r="F158" t="inlineStr">
        <is>
          <t>JÖNKÖPINGS LÄN</t>
        </is>
      </c>
      <c r="G158" t="inlineStr">
        <is>
          <t>ANEBY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44481</v>
      </c>
      <c r="E159" s="1" t="n">
        <v>46266</v>
      </c>
      <c r="F159" t="inlineStr">
        <is>
          <t>JÖNKÖPINGS LÄN</t>
        </is>
      </c>
      <c r="G159" t="inlineStr">
        <is>
          <t>ANEBY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46266</v>
      </c>
      <c r="F160" t="inlineStr">
        <is>
          <t>JÖNKÖPINGS LÄN</t>
        </is>
      </c>
      <c r="G160" t="inlineStr">
        <is>
          <t>ANEBY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46266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19.6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46266</v>
      </c>
      <c r="F162" t="inlineStr">
        <is>
          <t>JÖNKÖPINGS LÄN</t>
        </is>
      </c>
      <c r="G162" t="inlineStr">
        <is>
          <t>ANEBY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46266</v>
      </c>
      <c r="F163" t="inlineStr">
        <is>
          <t>JÖNKÖPINGS LÄN</t>
        </is>
      </c>
      <c r="G163" t="inlineStr">
        <is>
          <t>ANEBY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46266</v>
      </c>
      <c r="F164" t="inlineStr">
        <is>
          <t>JÖNKÖPINGS LÄN</t>
        </is>
      </c>
      <c r="G164" t="inlineStr">
        <is>
          <t>ANEBY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45980</v>
      </c>
      <c r="E165" s="1" t="n">
        <v>46266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46266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45691</v>
      </c>
      <c r="E167" s="1" t="n">
        <v>46266</v>
      </c>
      <c r="F167" t="inlineStr">
        <is>
          <t>JÖNKÖPINGS LÄN</t>
        </is>
      </c>
      <c r="G167" t="inlineStr">
        <is>
          <t>ANEBY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46266</v>
      </c>
      <c r="F168" t="inlineStr">
        <is>
          <t>JÖNKÖPINGS LÄN</t>
        </is>
      </c>
      <c r="G168" t="inlineStr">
        <is>
          <t>ANEBY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45993</v>
      </c>
      <c r="E169" s="1" t="n">
        <v>46266</v>
      </c>
      <c r="F169" t="inlineStr">
        <is>
          <t>JÖNKÖPINGS LÄN</t>
        </is>
      </c>
      <c r="G169" t="inlineStr">
        <is>
          <t>ANEBY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46266</v>
      </c>
      <c r="F170" t="inlineStr">
        <is>
          <t>JÖNKÖPINGS LÄN</t>
        </is>
      </c>
      <c r="G170" t="inlineStr">
        <is>
          <t>ANEBY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45356</v>
      </c>
      <c r="E171" s="1" t="n">
        <v>46266</v>
      </c>
      <c r="F171" t="inlineStr">
        <is>
          <t>JÖNKÖPINGS LÄN</t>
        </is>
      </c>
      <c r="G171" t="inlineStr">
        <is>
          <t>ANEBY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46266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46266</v>
      </c>
      <c r="F173" t="inlineStr">
        <is>
          <t>JÖNKÖPINGS LÄN</t>
        </is>
      </c>
      <c r="G173" t="inlineStr">
        <is>
          <t>ANEBY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46266</v>
      </c>
      <c r="F174" t="inlineStr">
        <is>
          <t>JÖNKÖPINGS LÄN</t>
        </is>
      </c>
      <c r="G174" t="inlineStr">
        <is>
          <t>ANEBY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46266</v>
      </c>
      <c r="F175" t="inlineStr">
        <is>
          <t>JÖNKÖPINGS LÄN</t>
        </is>
      </c>
      <c r="G175" t="inlineStr">
        <is>
          <t>ANEBY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46266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46266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46266</v>
      </c>
      <c r="F178" t="inlineStr">
        <is>
          <t>JÖNKÖPINGS LÄN</t>
        </is>
      </c>
      <c r="G178" t="inlineStr">
        <is>
          <t>ANEBY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46266</v>
      </c>
      <c r="F179" t="inlineStr">
        <is>
          <t>JÖNKÖPINGS LÄN</t>
        </is>
      </c>
      <c r="G179" t="inlineStr">
        <is>
          <t>ANEBY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44477</v>
      </c>
      <c r="E180" s="1" t="n">
        <v>46266</v>
      </c>
      <c r="F180" t="inlineStr">
        <is>
          <t>JÖNKÖPINGS LÄN</t>
        </is>
      </c>
      <c r="G180" t="inlineStr">
        <is>
          <t>ANEBY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46266</v>
      </c>
      <c r="F181" t="inlineStr">
        <is>
          <t>JÖNKÖPINGS LÄN</t>
        </is>
      </c>
      <c r="G181" t="inlineStr">
        <is>
          <t>ANEBY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46266</v>
      </c>
      <c r="F182" t="inlineStr">
        <is>
          <t>JÖNKÖPINGS LÄN</t>
        </is>
      </c>
      <c r="G182" t="inlineStr">
        <is>
          <t>ANEBY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46266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46266</v>
      </c>
      <c r="F184" t="inlineStr">
        <is>
          <t>JÖNKÖPINGS LÄN</t>
        </is>
      </c>
      <c r="G184" t="inlineStr">
        <is>
          <t>ANEBY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44606</v>
      </c>
      <c r="E185" s="1" t="n">
        <v>46266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46266</v>
      </c>
      <c r="F186" t="inlineStr">
        <is>
          <t>JÖNKÖPINGS LÄN</t>
        </is>
      </c>
      <c r="G186" t="inlineStr">
        <is>
          <t>ANEBY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12714-2023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46266</v>
      </c>
      <c r="F187" t="inlineStr">
        <is>
          <t>JÖNKÖPINGS LÄN</t>
        </is>
      </c>
      <c r="G187" t="inlineStr">
        <is>
          <t>ANEBY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44985</v>
      </c>
      <c r="E188" s="1" t="n">
        <v>46266</v>
      </c>
      <c r="F188" t="inlineStr">
        <is>
          <t>JÖNKÖPINGS LÄN</t>
        </is>
      </c>
      <c r="G188" t="inlineStr">
        <is>
          <t>ANEBY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46266</v>
      </c>
      <c r="F189" t="inlineStr">
        <is>
          <t>JÖNKÖPINGS LÄN</t>
        </is>
      </c>
      <c r="G189" t="inlineStr">
        <is>
          <t>ANEBY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46266</v>
      </c>
      <c r="F190" t="inlineStr">
        <is>
          <t>JÖNKÖPINGS LÄN</t>
        </is>
      </c>
      <c r="G190" t="inlineStr">
        <is>
          <t>ANEBY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46266</v>
      </c>
      <c r="F191" t="inlineStr">
        <is>
          <t>JÖNKÖPINGS LÄN</t>
        </is>
      </c>
      <c r="G191" t="inlineStr">
        <is>
          <t>ANEBY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44705</v>
      </c>
      <c r="E192" s="1" t="n">
        <v>46266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46266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46266</v>
      </c>
      <c r="F194" t="inlineStr">
        <is>
          <t>JÖNKÖPINGS LÄN</t>
        </is>
      </c>
      <c r="G194" t="inlineStr">
        <is>
          <t>ANEBY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45097</v>
      </c>
      <c r="E195" s="1" t="n">
        <v>46266</v>
      </c>
      <c r="F195" t="inlineStr">
        <is>
          <t>JÖNKÖPINGS LÄN</t>
        </is>
      </c>
      <c r="G195" t="inlineStr">
        <is>
          <t>ANEBY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45665</v>
      </c>
      <c r="E196" s="1" t="n">
        <v>46266</v>
      </c>
      <c r="F196" t="inlineStr">
        <is>
          <t>JÖNKÖPINGS LÄN</t>
        </is>
      </c>
      <c r="G196" t="inlineStr">
        <is>
          <t>ANEBY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46266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46266</v>
      </c>
      <c r="F198" t="inlineStr">
        <is>
          <t>JÖNKÖPINGS LÄN</t>
        </is>
      </c>
      <c r="G198" t="inlineStr">
        <is>
          <t>ANEBY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21026-2024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45439</v>
      </c>
      <c r="E199" s="1" t="n">
        <v>46266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46266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46266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46266</v>
      </c>
      <c r="F202" t="inlineStr">
        <is>
          <t>JÖNKÖPINGS LÄN</t>
        </is>
      </c>
      <c r="G202" t="inlineStr">
        <is>
          <t>ANEBY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6827-2026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46057</v>
      </c>
      <c r="E203" s="1" t="n">
        <v>46266</v>
      </c>
      <c r="F203" t="inlineStr">
        <is>
          <t>JÖNKÖPINGS LÄN</t>
        </is>
      </c>
      <c r="G203" t="inlineStr">
        <is>
          <t>ANEBY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46266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46266</v>
      </c>
      <c r="F205" t="inlineStr">
        <is>
          <t>JÖNKÖPINGS LÄN</t>
        </is>
      </c>
      <c r="G205" t="inlineStr">
        <is>
          <t>ANEBY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46266</v>
      </c>
      <c r="F206" t="inlineStr">
        <is>
          <t>JÖNKÖPINGS LÄN</t>
        </is>
      </c>
      <c r="G206" t="inlineStr">
        <is>
          <t>ANEBY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7263-2026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46058</v>
      </c>
      <c r="E207" s="1" t="n">
        <v>46266</v>
      </c>
      <c r="F207" t="inlineStr">
        <is>
          <t>JÖNKÖPINGS LÄN</t>
        </is>
      </c>
      <c r="G207" t="inlineStr">
        <is>
          <t>ANEBY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46059</v>
      </c>
      <c r="E208" s="1" t="n">
        <v>46266</v>
      </c>
      <c r="F208" t="inlineStr">
        <is>
          <t>JÖNKÖPINGS LÄN</t>
        </is>
      </c>
      <c r="G208" t="inlineStr">
        <is>
          <t>ANEBY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46266</v>
      </c>
      <c r="F209" t="inlineStr">
        <is>
          <t>JÖNKÖPINGS LÄN</t>
        </is>
      </c>
      <c r="G209" t="inlineStr">
        <is>
          <t>ANEBY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46266</v>
      </c>
      <c r="F210" t="inlineStr">
        <is>
          <t>JÖNKÖPINGS LÄN</t>
        </is>
      </c>
      <c r="G210" t="inlineStr">
        <is>
          <t>ANEBY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46266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46266</v>
      </c>
      <c r="F212" t="inlineStr">
        <is>
          <t>JÖNKÖPINGS LÄN</t>
        </is>
      </c>
      <c r="G212" t="inlineStr">
        <is>
          <t>ANEBY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46266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46266</v>
      </c>
      <c r="F214" t="inlineStr">
        <is>
          <t>JÖNKÖPINGS LÄN</t>
        </is>
      </c>
      <c r="G214" t="inlineStr">
        <is>
          <t>ANEBY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46266</v>
      </c>
      <c r="F215" t="inlineStr">
        <is>
          <t>JÖNKÖPINGS LÄN</t>
        </is>
      </c>
      <c r="G215" t="inlineStr">
        <is>
          <t>ANEBY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44952</v>
      </c>
      <c r="E216" s="1" t="n">
        <v>46266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46266</v>
      </c>
      <c r="F217" t="inlineStr">
        <is>
          <t>JÖNKÖPINGS LÄN</t>
        </is>
      </c>
      <c r="G217" t="inlineStr">
        <is>
          <t>ANEBY</t>
        </is>
      </c>
      <c r="I217" t="n">
        <v>8.9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73166-2021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46266</v>
      </c>
      <c r="F218" t="inlineStr">
        <is>
          <t>JÖNKÖPINGS LÄN</t>
        </is>
      </c>
      <c r="G218" t="inlineStr">
        <is>
          <t>ANEBY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46073</v>
      </c>
      <c r="E219" s="1" t="n">
        <v>46266</v>
      </c>
      <c r="F219" t="inlineStr">
        <is>
          <t>JÖNKÖPINGS LÄN</t>
        </is>
      </c>
      <c r="G219" t="inlineStr">
        <is>
          <t>ANEBY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44623</v>
      </c>
      <c r="E220" s="1" t="n">
        <v>46266</v>
      </c>
      <c r="F220" t="inlineStr">
        <is>
          <t>JÖNKÖPINGS LÄN</t>
        </is>
      </c>
      <c r="G220" t="inlineStr">
        <is>
          <t>ANEBY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23349-2023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45076</v>
      </c>
      <c r="E221" s="1" t="n">
        <v>46266</v>
      </c>
      <c r="F221" t="inlineStr">
        <is>
          <t>JÖNKÖPINGS LÄN</t>
        </is>
      </c>
      <c r="G221" t="inlineStr">
        <is>
          <t>ANEBY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46266</v>
      </c>
      <c r="F222" t="inlineStr">
        <is>
          <t>JÖNKÖPINGS LÄN</t>
        </is>
      </c>
      <c r="G222" t="inlineStr">
        <is>
          <t>ANEBY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46266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46266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45467</v>
      </c>
      <c r="E225" s="1" t="n">
        <v>46266</v>
      </c>
      <c r="F225" t="inlineStr">
        <is>
          <t>JÖNKÖPINGS LÄN</t>
        </is>
      </c>
      <c r="G225" t="inlineStr">
        <is>
          <t>ANEBY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  <c r="Z225">
        <f>HYPERLINK("https://klasma.github.io/Logging_0604/knärot/A 25963-2024 karta knärot.png", "A 25963-2024")</f>
        <v/>
      </c>
      <c r="AA225">
        <f>HYPERLINK("https://klasma.github.io/Logging_0604/klagomål/A 25963-2024 FSC-klagomål.docx", "A 25963-2024")</f>
        <v/>
      </c>
      <c r="AB225">
        <f>HYPERLINK("https://klasma.github.io/Logging_0604/klagomålsmail/A 25963-2024 FSC-klagomål mail.docx", "A 25963-2024")</f>
        <v/>
      </c>
      <c r="AC225">
        <f>HYPERLINK("https://klasma.github.io/Logging_0604/tillsyn/A 25963-2024 tillsynsbegäran.docx", "A 25963-2024")</f>
        <v/>
      </c>
      <c r="AD225">
        <f>HYPERLINK("https://klasma.github.io/Logging_0604/tillsynsmail/A 25963-2024 tillsynsbegäran mail.docx", "A 25963-2024")</f>
        <v/>
      </c>
    </row>
    <row r="226" ht="15" customHeight="1">
      <c r="A226" t="inlineStr">
        <is>
          <t>A 21812-2023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45068</v>
      </c>
      <c r="E226" s="1" t="n">
        <v>46266</v>
      </c>
      <c r="F226" t="inlineStr">
        <is>
          <t>JÖNKÖPINGS LÄN</t>
        </is>
      </c>
      <c r="G226" t="inlineStr">
        <is>
          <t>ANEBY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46266</v>
      </c>
      <c r="F227" t="inlineStr">
        <is>
          <t>JÖNKÖPINGS LÄN</t>
        </is>
      </c>
      <c r="G227" t="inlineStr">
        <is>
          <t>ANEBY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46266</v>
      </c>
      <c r="F228" t="inlineStr">
        <is>
          <t>JÖNKÖPINGS LÄN</t>
        </is>
      </c>
      <c r="G228" t="inlineStr">
        <is>
          <t>ANEBY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46266</v>
      </c>
      <c r="F229" t="inlineStr">
        <is>
          <t>JÖNKÖPINGS LÄN</t>
        </is>
      </c>
      <c r="G229" t="inlineStr">
        <is>
          <t>ANEBY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46266</v>
      </c>
      <c r="F230" t="inlineStr">
        <is>
          <t>JÖNKÖPINGS LÄN</t>
        </is>
      </c>
      <c r="G230" t="inlineStr">
        <is>
          <t>ANEBY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46266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46266</v>
      </c>
      <c r="F232" t="inlineStr">
        <is>
          <t>JÖNKÖPINGS LÄN</t>
        </is>
      </c>
      <c r="G232" t="inlineStr">
        <is>
          <t>ANEBY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46266</v>
      </c>
      <c r="F233" t="inlineStr">
        <is>
          <t>JÖNKÖPINGS LÄN</t>
        </is>
      </c>
      <c r="G233" t="inlineStr">
        <is>
          <t>ANEBY</t>
        </is>
      </c>
      <c r="H233" t="inlineStr">
        <is>
          <t>Övriga Aktiebolag</t>
        </is>
      </c>
      <c r="I233" t="n">
        <v>20.7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46266</v>
      </c>
      <c r="F234" t="inlineStr">
        <is>
          <t>JÖNKÖPINGS LÄN</t>
        </is>
      </c>
      <c r="G234" t="inlineStr">
        <is>
          <t>ANEBY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46266</v>
      </c>
      <c r="F235" t="inlineStr">
        <is>
          <t>JÖNKÖPINGS LÄN</t>
        </is>
      </c>
      <c r="G235" t="inlineStr">
        <is>
          <t>ANEBY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46266</v>
      </c>
      <c r="F236" t="inlineStr">
        <is>
          <t>JÖNKÖPINGS LÄN</t>
        </is>
      </c>
      <c r="G236" t="inlineStr">
        <is>
          <t>ANEBY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46266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44721</v>
      </c>
      <c r="E238" s="1" t="n">
        <v>46266</v>
      </c>
      <c r="F238" t="inlineStr">
        <is>
          <t>JÖNKÖPINGS LÄN</t>
        </is>
      </c>
      <c r="G238" t="inlineStr">
        <is>
          <t>ANEBY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45616</v>
      </c>
      <c r="E239" s="1" t="n">
        <v>46266</v>
      </c>
      <c r="F239" t="inlineStr">
        <is>
          <t>JÖNKÖPINGS LÄN</t>
        </is>
      </c>
      <c r="G239" t="inlineStr">
        <is>
          <t>ANEBY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46266</v>
      </c>
      <c r="F240" t="inlineStr">
        <is>
          <t>JÖNKÖPINGS LÄN</t>
        </is>
      </c>
      <c r="G240" t="inlineStr">
        <is>
          <t>ANEBY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46266</v>
      </c>
      <c r="F241" t="inlineStr">
        <is>
          <t>JÖNKÖPINGS LÄN</t>
        </is>
      </c>
      <c r="G241" t="inlineStr">
        <is>
          <t>ANEBY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46266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46266</v>
      </c>
      <c r="F243" t="inlineStr">
        <is>
          <t>JÖNKÖPINGS LÄN</t>
        </is>
      </c>
      <c r="G243" t="inlineStr">
        <is>
          <t>ANEBY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46266</v>
      </c>
      <c r="F244" t="inlineStr">
        <is>
          <t>JÖNKÖPINGS LÄN</t>
        </is>
      </c>
      <c r="G244" t="inlineStr">
        <is>
          <t>ANEBY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46266</v>
      </c>
      <c r="F245" t="inlineStr">
        <is>
          <t>JÖNKÖPINGS LÄN</t>
        </is>
      </c>
      <c r="G245" t="inlineStr">
        <is>
          <t>ANEBY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46266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43613-2023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45184</v>
      </c>
      <c r="E247" s="1" t="n">
        <v>46266</v>
      </c>
      <c r="F247" t="inlineStr">
        <is>
          <t>JÖNKÖPINGS LÄN</t>
        </is>
      </c>
      <c r="G247" t="inlineStr">
        <is>
          <t>ANEBY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12477-2023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44999</v>
      </c>
      <c r="E248" s="1" t="n">
        <v>46266</v>
      </c>
      <c r="F248" t="inlineStr">
        <is>
          <t>JÖNKÖPINGS LÄN</t>
        </is>
      </c>
      <c r="G248" t="inlineStr">
        <is>
          <t>ANEBY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46266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46266</v>
      </c>
      <c r="F250" t="inlineStr">
        <is>
          <t>JÖNKÖPINGS LÄN</t>
        </is>
      </c>
      <c r="G250" t="inlineStr">
        <is>
          <t>ANEBY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46266</v>
      </c>
      <c r="F251" t="inlineStr">
        <is>
          <t>JÖNKÖPINGS LÄN</t>
        </is>
      </c>
      <c r="G251" t="inlineStr">
        <is>
          <t>ANEBY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46266</v>
      </c>
      <c r="F252" t="inlineStr">
        <is>
          <t>JÖNKÖPINGS LÄN</t>
        </is>
      </c>
      <c r="G252" t="inlineStr">
        <is>
          <t>ANEBY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44957</v>
      </c>
      <c r="E253" s="1" t="n">
        <v>46266</v>
      </c>
      <c r="F253" t="inlineStr">
        <is>
          <t>JÖNKÖPINGS LÄN</t>
        </is>
      </c>
      <c r="G253" t="inlineStr">
        <is>
          <t>ANEBY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46266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46266</v>
      </c>
      <c r="F255" t="inlineStr">
        <is>
          <t>JÖNKÖPINGS LÄN</t>
        </is>
      </c>
      <c r="G255" t="inlineStr">
        <is>
          <t>ANEBY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45304</v>
      </c>
      <c r="E256" s="1" t="n">
        <v>46266</v>
      </c>
      <c r="F256" t="inlineStr">
        <is>
          <t>JÖNKÖPINGS LÄN</t>
        </is>
      </c>
      <c r="G256" t="inlineStr">
        <is>
          <t>ANEBY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44578</v>
      </c>
      <c r="E257" s="1" t="n">
        <v>46266</v>
      </c>
      <c r="F257" t="inlineStr">
        <is>
          <t>JÖNKÖPINGS LÄN</t>
        </is>
      </c>
      <c r="G257" t="inlineStr">
        <is>
          <t>ANEBY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45468</v>
      </c>
      <c r="E258" s="1" t="n">
        <v>46266</v>
      </c>
      <c r="F258" t="inlineStr">
        <is>
          <t>JÖNKÖPINGS LÄN</t>
        </is>
      </c>
      <c r="G258" t="inlineStr">
        <is>
          <t>ANEBY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46266</v>
      </c>
      <c r="F259" t="inlineStr">
        <is>
          <t>JÖNKÖPINGS LÄN</t>
        </is>
      </c>
      <c r="G259" t="inlineStr">
        <is>
          <t>ANEBY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46266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46266</v>
      </c>
      <c r="F261" t="inlineStr">
        <is>
          <t>JÖNKÖPINGS LÄN</t>
        </is>
      </c>
      <c r="G261" t="inlineStr">
        <is>
          <t>ANEBY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46266</v>
      </c>
      <c r="F262" t="inlineStr">
        <is>
          <t>JÖNKÖPINGS LÄN</t>
        </is>
      </c>
      <c r="G262" t="inlineStr">
        <is>
          <t>ANEBY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10155-2024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45364</v>
      </c>
      <c r="E263" s="1" t="n">
        <v>46266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46266</v>
      </c>
      <c r="F264" t="inlineStr">
        <is>
          <t>JÖNKÖPINGS LÄN</t>
        </is>
      </c>
      <c r="G264" t="inlineStr">
        <is>
          <t>ANEBY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46266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46266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32768-2025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46266</v>
      </c>
      <c r="F267" t="inlineStr">
        <is>
          <t>JÖNKÖPINGS LÄN</t>
        </is>
      </c>
      <c r="G267" t="inlineStr">
        <is>
          <t>ANEBY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44851</v>
      </c>
      <c r="E268" s="1" t="n">
        <v>46266</v>
      </c>
      <c r="F268" t="inlineStr">
        <is>
          <t>JÖNKÖPINGS LÄN</t>
        </is>
      </c>
      <c r="G268" t="inlineStr">
        <is>
          <t>ANEBY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46266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46266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10456-2023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44981</v>
      </c>
      <c r="E271" s="1" t="n">
        <v>46266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46266</v>
      </c>
      <c r="F272" t="inlineStr">
        <is>
          <t>JÖNKÖPINGS LÄN</t>
        </is>
      </c>
      <c r="G272" t="inlineStr">
        <is>
          <t>ANEBY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45126</v>
      </c>
      <c r="E273" s="1" t="n">
        <v>46266</v>
      </c>
      <c r="F273" t="inlineStr">
        <is>
          <t>JÖNKÖPINGS LÄN</t>
        </is>
      </c>
      <c r="G273" t="inlineStr">
        <is>
          <t>ANEBY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51185-2021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44461</v>
      </c>
      <c r="E274" s="1" t="n">
        <v>46266</v>
      </c>
      <c r="F274" t="inlineStr">
        <is>
          <t>JÖNKÖPINGS LÄN</t>
        </is>
      </c>
      <c r="G274" t="inlineStr">
        <is>
          <t>ANEBY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46266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21356-2026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46147</v>
      </c>
      <c r="E276" s="1" t="n">
        <v>46266</v>
      </c>
      <c r="F276" t="inlineStr">
        <is>
          <t>JÖNKÖPINGS LÄN</t>
        </is>
      </c>
      <c r="G276" t="inlineStr">
        <is>
          <t>ANEBY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46266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46266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46266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46266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46266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46266</v>
      </c>
      <c r="F282" t="inlineStr">
        <is>
          <t>JÖNKÖPINGS LÄN</t>
        </is>
      </c>
      <c r="G282" t="inlineStr">
        <is>
          <t>ANEBY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45034</v>
      </c>
      <c r="E283" s="1" t="n">
        <v>46266</v>
      </c>
      <c r="F283" t="inlineStr">
        <is>
          <t>JÖNKÖPINGS LÄN</t>
        </is>
      </c>
      <c r="G283" t="inlineStr">
        <is>
          <t>ANEBY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46266</v>
      </c>
      <c r="F284" t="inlineStr">
        <is>
          <t>JÖNKÖPINGS LÄN</t>
        </is>
      </c>
      <c r="G284" t="inlineStr">
        <is>
          <t>ANEBY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46266</v>
      </c>
      <c r="F285" t="inlineStr">
        <is>
          <t>JÖNKÖPINGS LÄN</t>
        </is>
      </c>
      <c r="G285" t="inlineStr">
        <is>
          <t>ANEBY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67414-2021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46266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45033</v>
      </c>
      <c r="E287" s="1" t="n">
        <v>46266</v>
      </c>
      <c r="F287" t="inlineStr">
        <is>
          <t>JÖNKÖPINGS LÄN</t>
        </is>
      </c>
      <c r="G287" t="inlineStr">
        <is>
          <t>ANEBY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46266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59507-2022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44900</v>
      </c>
      <c r="E289" s="1" t="n">
        <v>46266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45076</v>
      </c>
      <c r="E290" s="1" t="n">
        <v>46266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46266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37343-2023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45156</v>
      </c>
      <c r="E292" s="1" t="n">
        <v>46266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46266</v>
      </c>
      <c r="F293" t="inlineStr">
        <is>
          <t>JÖNKÖPINGS LÄN</t>
        </is>
      </c>
      <c r="G293" t="inlineStr">
        <is>
          <t>ANEBY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46266</v>
      </c>
      <c r="F294" t="inlineStr">
        <is>
          <t>JÖNKÖPINGS LÄN</t>
        </is>
      </c>
      <c r="G294" t="inlineStr">
        <is>
          <t>ANEBY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45092</v>
      </c>
      <c r="E295" s="1" t="n">
        <v>46266</v>
      </c>
      <c r="F295" t="inlineStr">
        <is>
          <t>JÖNKÖPINGS LÄN</t>
        </is>
      </c>
      <c r="G295" t="inlineStr">
        <is>
          <t>ANEBY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38794-2023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45161</v>
      </c>
      <c r="E296" s="1" t="n">
        <v>46266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46266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46266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46266</v>
      </c>
      <c r="F299" t="inlineStr">
        <is>
          <t>JÖNKÖPINGS LÄN</t>
        </is>
      </c>
      <c r="G299" t="inlineStr">
        <is>
          <t>ANEBY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46266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45616</v>
      </c>
      <c r="E301" s="1" t="n">
        <v>46266</v>
      </c>
      <c r="F301" t="inlineStr">
        <is>
          <t>JÖNKÖPINGS LÄN</t>
        </is>
      </c>
      <c r="G301" t="inlineStr">
        <is>
          <t>ANEBY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45408</v>
      </c>
      <c r="E302" s="1" t="n">
        <v>46266</v>
      </c>
      <c r="F302" t="inlineStr">
        <is>
          <t>JÖNKÖPINGS LÄN</t>
        </is>
      </c>
      <c r="G302" t="inlineStr">
        <is>
          <t>ANEBY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45016</v>
      </c>
      <c r="E303" s="1" t="n">
        <v>46266</v>
      </c>
      <c r="F303" t="inlineStr">
        <is>
          <t>JÖNKÖPINGS LÄN</t>
        </is>
      </c>
      <c r="G303" t="inlineStr">
        <is>
          <t>ANEBY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46266</v>
      </c>
      <c r="F304" t="inlineStr">
        <is>
          <t>JÖNKÖPINGS LÄN</t>
        </is>
      </c>
      <c r="G304" t="inlineStr">
        <is>
          <t>ANEBY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25897-2026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46176</v>
      </c>
      <c r="E305" s="1" t="n">
        <v>46266</v>
      </c>
      <c r="F305" t="inlineStr">
        <is>
          <t>JÖNKÖPINGS LÄN</t>
        </is>
      </c>
      <c r="G305" t="inlineStr">
        <is>
          <t>ANEBY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44978</v>
      </c>
      <c r="E306" s="1" t="n">
        <v>46266</v>
      </c>
      <c r="F306" t="inlineStr">
        <is>
          <t>JÖNKÖPINGS LÄN</t>
        </is>
      </c>
      <c r="G306" t="inlineStr">
        <is>
          <t>ANEBY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46266</v>
      </c>
      <c r="F307" t="inlineStr">
        <is>
          <t>JÖNKÖPINGS LÄN</t>
        </is>
      </c>
      <c r="G307" t="inlineStr">
        <is>
          <t>ANEBY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46266</v>
      </c>
      <c r="F308" t="inlineStr">
        <is>
          <t>JÖNKÖPINGS LÄN</t>
        </is>
      </c>
      <c r="G308" t="inlineStr">
        <is>
          <t>ANEBY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46266</v>
      </c>
      <c r="F309" t="inlineStr">
        <is>
          <t>JÖNKÖPINGS LÄN</t>
        </is>
      </c>
      <c r="G309" t="inlineStr">
        <is>
          <t>ANEBY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46266</v>
      </c>
      <c r="F310" t="inlineStr">
        <is>
          <t>JÖNKÖPINGS LÄN</t>
        </is>
      </c>
      <c r="G310" t="inlineStr">
        <is>
          <t>ANEBY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46266</v>
      </c>
      <c r="F311" t="inlineStr">
        <is>
          <t>JÖNKÖPINGS LÄN</t>
        </is>
      </c>
      <c r="G311" t="inlineStr">
        <is>
          <t>ANEBY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44957</v>
      </c>
      <c r="E312" s="1" t="n">
        <v>46266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44700</v>
      </c>
      <c r="E313" s="1" t="n">
        <v>46266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46266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46266</v>
      </c>
      <c r="F315" t="inlineStr">
        <is>
          <t>JÖNKÖPINGS LÄN</t>
        </is>
      </c>
      <c r="G315" t="inlineStr">
        <is>
          <t>ANEBY</t>
        </is>
      </c>
      <c r="H315" t="inlineStr">
        <is>
          <t>Övriga Aktiebolag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46266</v>
      </c>
      <c r="F316" t="inlineStr">
        <is>
          <t>JÖNKÖPINGS LÄN</t>
        </is>
      </c>
      <c r="G316" t="inlineStr">
        <is>
          <t>ANEBY</t>
        </is>
      </c>
      <c r="H316" t="inlineStr">
        <is>
          <t>Övriga Aktiebolag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9069-2024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46266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46266</v>
      </c>
      <c r="F318" t="inlineStr">
        <is>
          <t>JÖNKÖPINGS LÄN</t>
        </is>
      </c>
      <c r="G318" t="inlineStr">
        <is>
          <t>ANEBY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51160-2021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44461</v>
      </c>
      <c r="E319" s="1" t="n">
        <v>46266</v>
      </c>
      <c r="F319" t="inlineStr">
        <is>
          <t>JÖNKÖPINGS LÄN</t>
        </is>
      </c>
      <c r="G319" t="inlineStr">
        <is>
          <t>ANEBY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46185</v>
      </c>
      <c r="E320" s="1" t="n">
        <v>46266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46224</v>
      </c>
      <c r="E321" s="1" t="n">
        <v>46266</v>
      </c>
      <c r="F321" t="inlineStr">
        <is>
          <t>JÖNKÖPINGS LÄN</t>
        </is>
      </c>
      <c r="G321" t="inlineStr">
        <is>
          <t>ANEBY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46266</v>
      </c>
      <c r="F322" t="inlineStr">
        <is>
          <t>JÖNKÖPINGS LÄN</t>
        </is>
      </c>
      <c r="G322" t="inlineStr">
        <is>
          <t>ANEBY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27356-2026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46266</v>
      </c>
      <c r="F323" t="inlineStr">
        <is>
          <t>JÖNKÖPINGS LÄN</t>
        </is>
      </c>
      <c r="G323" t="inlineStr">
        <is>
          <t>ANEBY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46266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46266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46266</v>
      </c>
      <c r="F326" t="inlineStr">
        <is>
          <t>JÖNKÖPINGS LÄN</t>
        </is>
      </c>
      <c r="G326" t="inlineStr">
        <is>
          <t>ANEBY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44461</v>
      </c>
      <c r="E327" s="1" t="n">
        <v>46266</v>
      </c>
      <c r="F327" t="inlineStr">
        <is>
          <t>JÖNKÖPINGS LÄN</t>
        </is>
      </c>
      <c r="G327" t="inlineStr">
        <is>
          <t>ANEBY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46266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46266</v>
      </c>
      <c r="F329" t="inlineStr">
        <is>
          <t>JÖNKÖPINGS LÄN</t>
        </is>
      </c>
      <c r="G329" t="inlineStr">
        <is>
          <t>ANEBY</t>
        </is>
      </c>
      <c r="H329" t="inlineStr">
        <is>
          <t>Kyrkan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46266</v>
      </c>
      <c r="F330" t="inlineStr">
        <is>
          <t>JÖNKÖPINGS LÄN</t>
        </is>
      </c>
      <c r="G330" t="inlineStr">
        <is>
          <t>ANEBY</t>
        </is>
      </c>
      <c r="H330" t="inlineStr">
        <is>
          <t>Kyrkan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46196</v>
      </c>
      <c r="E331" s="1" t="n">
        <v>46266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50069-2024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45600</v>
      </c>
      <c r="E332" s="1" t="n">
        <v>46266</v>
      </c>
      <c r="F332" t="inlineStr">
        <is>
          <t>JÖNKÖPINGS LÄN</t>
        </is>
      </c>
      <c r="G332" t="inlineStr">
        <is>
          <t>ANEBY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46266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44565</v>
      </c>
      <c r="E334" s="1" t="n">
        <v>46266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46266</v>
      </c>
      <c r="F335" t="inlineStr">
        <is>
          <t>JÖNKÖPINGS LÄN</t>
        </is>
      </c>
      <c r="G335" t="inlineStr">
        <is>
          <t>ANEBY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46266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46266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46214</v>
      </c>
      <c r="E338" s="1" t="n">
        <v>46266</v>
      </c>
      <c r="F338" t="inlineStr">
        <is>
          <t>JÖNKÖPINGS LÄN</t>
        </is>
      </c>
      <c r="G338" t="inlineStr">
        <is>
          <t>ANEBY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46266</v>
      </c>
      <c r="F339" t="inlineStr">
        <is>
          <t>JÖNKÖPINGS LÄN</t>
        </is>
      </c>
      <c r="G339" t="inlineStr">
        <is>
          <t>ANEBY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46214</v>
      </c>
      <c r="E340" s="1" t="n">
        <v>46266</v>
      </c>
      <c r="F340" t="inlineStr">
        <is>
          <t>JÖNKÖPINGS LÄN</t>
        </is>
      </c>
      <c r="G340" t="inlineStr">
        <is>
          <t>ANEBY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34850-2026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46255</v>
      </c>
      <c r="E341" s="1" t="n">
        <v>46266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46266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46266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46266</v>
      </c>
      <c r="F344" t="inlineStr">
        <is>
          <t>JÖNKÖPINGS LÄN</t>
        </is>
      </c>
      <c r="G344" t="inlineStr">
        <is>
          <t>ANEBY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46266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46266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46266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46266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46266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46266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46266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46266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46266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46266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46266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46266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46266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46266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46266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2026-09-01T02:10:53Z</dcterms:created>
  <dcterms:modified xmlns:dcterms="http://purl.org/dc/terms/" xmlns:xsi="http://www.w3.org/2001/XMLSchema-instance" xsi:type="dcterms:W3CDTF">2026-09-01T02:10:54Z</dcterms:modified>
</cp:coreProperties>
</file>