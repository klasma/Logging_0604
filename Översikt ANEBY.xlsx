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46301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46301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46301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46301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46301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46301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46301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46301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46301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46301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46301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46301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46301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46301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46301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46301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46301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46301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46301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46301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46301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46301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46301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46301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24863-2024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46301</v>
      </c>
      <c r="F30" t="inlineStr">
        <is>
          <t>JÖNKÖPINGS LÄN</t>
        </is>
      </c>
      <c r="G30" t="inlineStr">
        <is>
          <t>ANEBY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HYPERLINK("https://klasma.github.io/Logging_0604/artfynd/A 24863-2024 artfynd.xlsx", "A 24863-2024")</f>
        <v/>
      </c>
      <c r="X30">
        <f>HYPERLINK("https://klasma.github.io/Logging_0604/kartor/A 24863-2024 karta.png", "A 24863-2024")</f>
        <v/>
      </c>
      <c r="Y30">
        <f>HYPERLINK("https://klasma.github.io/Logging_0604/kartor_geotiff/A 24863-2024 georefererad karta.tif", "A 24863-2024")</f>
        <v/>
      </c>
      <c r="AA30">
        <f>HYPERLINK("https://klasma.github.io/Logging_0604/klagomål/A 24863-2024 FSC-klagomål.docx", "A 24863-2024")</f>
        <v/>
      </c>
      <c r="AB30">
        <f>HYPERLINK("https://klasma.github.io/Logging_0604/klagomålsmail/A 24863-2024 FSC-klagomål mail.docx", "A 24863-2024")</f>
        <v/>
      </c>
      <c r="AC30">
        <f>HYPERLINK("https://klasma.github.io/Logging_0604/tillsyn/A 24863-2024 tillsynsbegäran.docx", "A 24863-2024")</f>
        <v/>
      </c>
      <c r="AD30">
        <f>HYPERLINK("https://klasma.github.io/Logging_0604/tillsynsmail/A 24863-2024 tillsynsbegäran mail.docx", "A 24863-2024")</f>
        <v/>
      </c>
      <c r="AE30">
        <f>HYPERLINK("https://klasma.github.io/Logging_0604/fåglar/A 24863-2024 prioriterade fågelarter.docx", "A 24863-2024")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46301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38728-2024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46301</v>
      </c>
      <c r="F32" t="inlineStr">
        <is>
          <t>JÖNKÖPINGS LÄN</t>
        </is>
      </c>
      <c r="G32" t="inlineStr">
        <is>
          <t>ANEBY</t>
        </is>
      </c>
      <c r="I32" t="n">
        <v>5.5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HYPERLINK("https://klasma.github.io/Logging_0604/artfynd/A 38728-2024 artfynd.xlsx", "A 38728-2024")</f>
        <v/>
      </c>
      <c r="X32">
        <f>HYPERLINK("https://klasma.github.io/Logging_0604/kartor/A 38728-2024 karta.png", "A 38728-2024")</f>
        <v/>
      </c>
      <c r="Y32">
        <f>HYPERLINK("https://klasma.github.io/Logging_0604/kartor_geotiff/A 38728-2024 georefererad karta.tif", "A 38728-2024")</f>
        <v/>
      </c>
      <c r="AA32">
        <f>HYPERLINK("https://klasma.github.io/Logging_0604/klagomål/A 38728-2024 FSC-klagomål.docx", "A 38728-2024")</f>
        <v/>
      </c>
      <c r="AB32">
        <f>HYPERLINK("https://klasma.github.io/Logging_0604/klagomålsmail/A 38728-2024 FSC-klagomål mail.docx", "A 38728-2024")</f>
        <v/>
      </c>
      <c r="AC32">
        <f>HYPERLINK("https://klasma.github.io/Logging_0604/tillsyn/A 38728-2024 tillsynsbegäran.docx", "A 38728-2024")</f>
        <v/>
      </c>
      <c r="AD32">
        <f>HYPERLINK("https://klasma.github.io/Logging_0604/tillsynsmail/A 38728-2024 tillsynsbegäran mail.docx", "A 38728-2024")</f>
        <v/>
      </c>
      <c r="AE32">
        <f>HYPERLINK("https://klasma.github.io/Logging_0604/fåglar/A 38728-2024 prioriterade fågelarter.docx", "A 38728-2024")</f>
        <v/>
      </c>
    </row>
    <row r="33" ht="15" customHeight="1">
      <c r="A33" t="inlineStr">
        <is>
          <t>A 13163-2024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45386</v>
      </c>
      <c r="E33" s="1" t="n">
        <v>46301</v>
      </c>
      <c r="F33" t="inlineStr">
        <is>
          <t>JÖNKÖPINGS LÄN</t>
        </is>
      </c>
      <c r="G33" t="inlineStr">
        <is>
          <t>ANEBY</t>
        </is>
      </c>
      <c r="I33" t="n">
        <v>6.9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HYPERLINK("https://klasma.github.io/Logging_0604/artfynd/A 13163-2024 artfynd.xlsx", "A 13163-2024")</f>
        <v/>
      </c>
      <c r="X33">
        <f>HYPERLINK("https://klasma.github.io/Logging_0604/kartor/A 13163-2024 karta.png", "A 13163-2024")</f>
        <v/>
      </c>
      <c r="Y33">
        <f>HYPERLINK("https://klasma.github.io/Logging_0604/kartor_geotiff/A 13163-2024 georefererad karta.tif", "A 13163-2024")</f>
        <v/>
      </c>
      <c r="AA33">
        <f>HYPERLINK("https://klasma.github.io/Logging_0604/klagomål/A 13163-2024 FSC-klagomål.docx", "A 13163-2024")</f>
        <v/>
      </c>
      <c r="AB33">
        <f>HYPERLINK("https://klasma.github.io/Logging_0604/klagomålsmail/A 13163-2024 FSC-klagomål mail.docx", "A 13163-2024")</f>
        <v/>
      </c>
      <c r="AC33">
        <f>HYPERLINK("https://klasma.github.io/Logging_0604/tillsyn/A 13163-2024 tillsynsbegäran.docx", "A 13163-2024")</f>
        <v/>
      </c>
      <c r="AD33">
        <f>HYPERLINK("https://klasma.github.io/Logging_0604/tillsynsmail/A 13163-2024 tillsynsbegäran mail.docx", "A 13163-2024")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46301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46301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38338-2023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46301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HYPERLINK("https://klasma.github.io/Logging_0604/artfynd/A 38338-2023 artfynd.xlsx", "A 38338-2023")</f>
        <v/>
      </c>
      <c r="X36">
        <f>HYPERLINK("https://klasma.github.io/Logging_0604/kartor/A 38338-2023 karta.png", "A 38338-2023")</f>
        <v/>
      </c>
      <c r="Y36">
        <f>HYPERLINK("https://klasma.github.io/Logging_0604/kartor_geotiff/A 38338-2023 georefererad karta.tif", "A 38338-2023")</f>
        <v/>
      </c>
      <c r="AA36">
        <f>HYPERLINK("https://klasma.github.io/Logging_0604/klagomål/A 38338-2023 FSC-klagomål.docx", "A 38338-2023")</f>
        <v/>
      </c>
      <c r="AB36">
        <f>HYPERLINK("https://klasma.github.io/Logging_0604/klagomålsmail/A 38338-2023 FSC-klagomål mail.docx", "A 38338-2023")</f>
        <v/>
      </c>
      <c r="AC36">
        <f>HYPERLINK("https://klasma.github.io/Logging_0604/tillsyn/A 38338-2023 tillsynsbegäran.docx", "A 38338-2023")</f>
        <v/>
      </c>
      <c r="AD36">
        <f>HYPERLINK("https://klasma.github.io/Logging_0604/tillsynsmail/A 38338-2023 tillsynsbegäran mail.docx", "A 38338-2023")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46301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46301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46301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46301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46301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26784-2022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46301</v>
      </c>
      <c r="F42" t="inlineStr">
        <is>
          <t>JÖNKÖPINGS LÄN</t>
        </is>
      </c>
      <c r="G42" t="inlineStr">
        <is>
          <t>ANEBY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Vårstarr</t>
        </is>
      </c>
      <c r="W42">
        <f>HYPERLINK("https://klasma.github.io/Logging_0604/artfynd/A 26784-2022 artfynd.xlsx", "A 26784-2022")</f>
        <v/>
      </c>
      <c r="X42">
        <f>HYPERLINK("https://klasma.github.io/Logging_0604/kartor/A 26784-2022 karta.png", "A 26784-2022")</f>
        <v/>
      </c>
      <c r="Y42">
        <f>HYPERLINK("https://klasma.github.io/Logging_0604/kartor_geotiff/A 26784-2022 georefererad karta.tif", "A 26784-2022")</f>
        <v/>
      </c>
      <c r="AA42">
        <f>HYPERLINK("https://klasma.github.io/Logging_0604/klagomål/A 26784-2022 FSC-klagomål.docx", "A 26784-2022")</f>
        <v/>
      </c>
      <c r="AB42">
        <f>HYPERLINK("https://klasma.github.io/Logging_0604/klagomålsmail/A 26784-2022 FSC-klagomål mail.docx", "A 26784-2022")</f>
        <v/>
      </c>
      <c r="AC42">
        <f>HYPERLINK("https://klasma.github.io/Logging_0604/tillsyn/A 26784-2022 tillsynsbegäran.docx", "A 26784-2022")</f>
        <v/>
      </c>
      <c r="AD42">
        <f>HYPERLINK("https://klasma.github.io/Logging_0604/tillsynsmail/A 26784-2022 tillsynsbegäran mail.docx", "A 26784-2022")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46301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10010-2023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44985</v>
      </c>
      <c r="E44" s="1" t="n">
        <v>46301</v>
      </c>
      <c r="F44" t="inlineStr">
        <is>
          <t>JÖNKÖPINGS LÄN</t>
        </is>
      </c>
      <c r="G44" t="inlineStr">
        <is>
          <t>ANEBY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Ask</t>
        </is>
      </c>
      <c r="W44">
        <f>HYPERLINK("https://klasma.github.io/Logging_0604/artfynd/A 10010-2023 artfynd.xlsx", "A 10010-2023")</f>
        <v/>
      </c>
      <c r="X44">
        <f>HYPERLINK("https://klasma.github.io/Logging_0604/kartor/A 10010-2023 karta.png", "A 10010-2023")</f>
        <v/>
      </c>
      <c r="Y44">
        <f>HYPERLINK("https://klasma.github.io/Logging_0604/kartor_geotiff/A 10010-2023 georefererad karta.tif", "A 10010-2023")</f>
        <v/>
      </c>
      <c r="AA44">
        <f>HYPERLINK("https://klasma.github.io/Logging_0604/klagomål/A 10010-2023 FSC-klagomål.docx", "A 10010-2023")</f>
        <v/>
      </c>
      <c r="AB44">
        <f>HYPERLINK("https://klasma.github.io/Logging_0604/klagomålsmail/A 10010-2023 FSC-klagomål mail.docx", "A 10010-2023")</f>
        <v/>
      </c>
      <c r="AC44">
        <f>HYPERLINK("https://klasma.github.io/Logging_0604/tillsyn/A 10010-2023 tillsynsbegäran.docx", "A 10010-2023")</f>
        <v/>
      </c>
      <c r="AD44">
        <f>HYPERLINK("https://klasma.github.io/Logging_0604/tillsynsmail/A 10010-2023 tillsynsbegäran mail.docx", "A 10010-2023")</f>
        <v/>
      </c>
    </row>
    <row r="45" ht="15" customHeight="1">
      <c r="A45" t="inlineStr">
        <is>
          <t>A 8117-2025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45707</v>
      </c>
      <c r="E45" s="1" t="n">
        <v>46301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Enkelbeckasin</t>
        </is>
      </c>
      <c r="W45">
        <f>HYPERLINK("https://klasma.github.io/Logging_0604/artfynd/A 8117-2025 artfynd.xlsx", "A 8117-2025")</f>
        <v/>
      </c>
      <c r="X45">
        <f>HYPERLINK("https://klasma.github.io/Logging_0604/kartor/A 8117-2025 karta.png", "A 8117-2025")</f>
        <v/>
      </c>
      <c r="Y45">
        <f>HYPERLINK("https://klasma.github.io/Logging_0604/kartor_geotiff/A 8117-2025 georefererad karta.tif", "A 8117-2025")</f>
        <v/>
      </c>
      <c r="AA45">
        <f>HYPERLINK("https://klasma.github.io/Logging_0604/klagomål/A 8117-2025 FSC-klagomål.docx", "A 8117-2025")</f>
        <v/>
      </c>
      <c r="AB45">
        <f>HYPERLINK("https://klasma.github.io/Logging_0604/klagomålsmail/A 8117-2025 FSC-klagomål mail.docx", "A 8117-2025")</f>
        <v/>
      </c>
      <c r="AC45">
        <f>HYPERLINK("https://klasma.github.io/Logging_0604/tillsyn/A 8117-2025 tillsynsbegäran.docx", "A 8117-2025")</f>
        <v/>
      </c>
      <c r="AD45">
        <f>HYPERLINK("https://klasma.github.io/Logging_0604/tillsynsmail/A 8117-2025 tillsynsbegäran mail.docx", "A 8117-2025")</f>
        <v/>
      </c>
      <c r="AE45">
        <f>HYPERLINK("https://klasma.github.io/Logging_0604/fåglar/A 8117-2025 prioriterade fågelarter.docx", "A 8117-2025")</f>
        <v/>
      </c>
    </row>
    <row r="46" ht="15" customHeight="1">
      <c r="A46" t="inlineStr">
        <is>
          <t>A 25875-2024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45467</v>
      </c>
      <c r="E46" s="1" t="n">
        <v>46301</v>
      </c>
      <c r="F46" t="inlineStr">
        <is>
          <t>JÖNKÖPINGS LÄN</t>
        </is>
      </c>
      <c r="G46" t="inlineStr">
        <is>
          <t>ANEBY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HYPERLINK("https://klasma.github.io/Logging_0604/artfynd/A 25875-2024 artfynd.xlsx", "A 25875-2024")</f>
        <v/>
      </c>
      <c r="X46">
        <f>HYPERLINK("https://klasma.github.io/Logging_0604/kartor/A 25875-2024 karta.png", "A 25875-2024")</f>
        <v/>
      </c>
      <c r="Y46">
        <f>HYPERLINK("https://klasma.github.io/Logging_0604/kartor_geotiff/A 25875-2024 georefererad karta.tif", "A 25875-2024")</f>
        <v/>
      </c>
      <c r="AA46">
        <f>HYPERLINK("https://klasma.github.io/Logging_0604/klagomål/A 25875-2024 FSC-klagomål.docx", "A 25875-2024")</f>
        <v/>
      </c>
      <c r="AB46">
        <f>HYPERLINK("https://klasma.github.io/Logging_0604/klagomålsmail/A 25875-2024 FSC-klagomål mail.docx", "A 25875-2024")</f>
        <v/>
      </c>
      <c r="AC46">
        <f>HYPERLINK("https://klasma.github.io/Logging_0604/tillsyn/A 25875-2024 tillsynsbegäran.docx", "A 25875-2024")</f>
        <v/>
      </c>
      <c r="AD46">
        <f>HYPERLINK("https://klasma.github.io/Logging_0604/tillsynsmail/A 25875-2024 tillsynsbegäran mail.docx", "A 25875-2024")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46301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46301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46301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46301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46301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46301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46301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46301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46301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46301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46301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46301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46301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46301</v>
      </c>
      <c r="F61" t="inlineStr">
        <is>
          <t>JÖNKÖPINGS LÄN</t>
        </is>
      </c>
      <c r="G61" t="inlineStr">
        <is>
          <t>ANEBY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46301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46301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46301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46301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46301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46301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46301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46301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46301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46301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46301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46301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46301</v>
      </c>
      <c r="F74" t="inlineStr">
        <is>
          <t>JÖNKÖPINGS LÄN</t>
        </is>
      </c>
      <c r="G74" t="inlineStr">
        <is>
          <t>ANEBY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46301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46301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46301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46301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46301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46301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46301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46301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45461</v>
      </c>
      <c r="E83" s="1" t="n">
        <v>46301</v>
      </c>
      <c r="F83" t="inlineStr">
        <is>
          <t>JÖNKÖPINGS LÄN</t>
        </is>
      </c>
      <c r="G83" t="inlineStr">
        <is>
          <t>ANEBY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44860</v>
      </c>
      <c r="E84" s="1" t="n">
        <v>46301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46301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46301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46301</v>
      </c>
      <c r="F87" t="inlineStr">
        <is>
          <t>JÖNKÖPINGS LÄN</t>
        </is>
      </c>
      <c r="G87" t="inlineStr">
        <is>
          <t>ANEBY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46301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45454</v>
      </c>
      <c r="E89" s="1" t="n">
        <v>46301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46301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46301</v>
      </c>
      <c r="F91" t="inlineStr">
        <is>
          <t>JÖNKÖPINGS LÄN</t>
        </is>
      </c>
      <c r="G91" t="inlineStr">
        <is>
          <t>ANEBY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46301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46301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46301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46301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37343-2023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45156</v>
      </c>
      <c r="E96" s="1" t="n">
        <v>46301</v>
      </c>
      <c r="F96" t="inlineStr">
        <is>
          <t>JÖNKÖPINGS LÄN</t>
        </is>
      </c>
      <c r="G96" t="inlineStr">
        <is>
          <t>ANEBY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46301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46301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27714-2024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45475</v>
      </c>
      <c r="E99" s="1" t="n">
        <v>46301</v>
      </c>
      <c r="F99" t="inlineStr">
        <is>
          <t>JÖNKÖPINGS LÄN</t>
        </is>
      </c>
      <c r="G99" t="inlineStr">
        <is>
          <t>ANEBY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46301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46301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46301</v>
      </c>
      <c r="F102" t="inlineStr">
        <is>
          <t>JÖNKÖPINGS LÄN</t>
        </is>
      </c>
      <c r="G102" t="inlineStr">
        <is>
          <t>ANEBY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12477-2023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44999</v>
      </c>
      <c r="E103" s="1" t="n">
        <v>46301</v>
      </c>
      <c r="F103" t="inlineStr">
        <is>
          <t>JÖNKÖPINGS LÄN</t>
        </is>
      </c>
      <c r="G103" t="inlineStr">
        <is>
          <t>ANEBY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46301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46301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46301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46301</v>
      </c>
      <c r="F107" t="inlineStr">
        <is>
          <t>JÖNKÖPINGS LÄN</t>
        </is>
      </c>
      <c r="G107" t="inlineStr">
        <is>
          <t>ANEBY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46301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16.8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46301</v>
      </c>
      <c r="F109" t="inlineStr">
        <is>
          <t>JÖNKÖPINGS LÄN</t>
        </is>
      </c>
      <c r="G109" t="inlineStr">
        <is>
          <t>ANEBY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46301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45555</v>
      </c>
      <c r="E111" s="1" t="n">
        <v>46301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46301</v>
      </c>
      <c r="F112" t="inlineStr">
        <is>
          <t>JÖNKÖPINGS LÄN</t>
        </is>
      </c>
      <c r="G112" t="inlineStr">
        <is>
          <t>ANEBY</t>
        </is>
      </c>
      <c r="I112" t="n">
        <v>10.1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46301</v>
      </c>
      <c r="F113" t="inlineStr">
        <is>
          <t>JÖNKÖPINGS LÄN</t>
        </is>
      </c>
      <c r="G113" t="inlineStr">
        <is>
          <t>ANEBY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46301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46301</v>
      </c>
      <c r="F115" t="inlineStr">
        <is>
          <t>JÖNKÖPINGS LÄN</t>
        </is>
      </c>
      <c r="G115" t="inlineStr">
        <is>
          <t>ANEBY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46301</v>
      </c>
      <c r="F116" t="inlineStr">
        <is>
          <t>JÖNKÖPINGS LÄN</t>
        </is>
      </c>
      <c r="G116" t="inlineStr">
        <is>
          <t>ANEBY</t>
        </is>
      </c>
      <c r="H116" t="inlineStr">
        <is>
          <t>Sveaskog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21026-2024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45439</v>
      </c>
      <c r="E117" s="1" t="n">
        <v>46301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46301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46301</v>
      </c>
      <c r="F119" t="inlineStr">
        <is>
          <t>JÖNKÖPINGS LÄN</t>
        </is>
      </c>
      <c r="G119" t="inlineStr">
        <is>
          <t>ANEBY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46301</v>
      </c>
      <c r="F120" t="inlineStr">
        <is>
          <t>JÖNKÖPINGS LÄN</t>
        </is>
      </c>
      <c r="G120" t="inlineStr">
        <is>
          <t>ANEBY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46301</v>
      </c>
      <c r="F121" t="inlineStr">
        <is>
          <t>JÖNKÖPINGS LÄN</t>
        </is>
      </c>
      <c r="G121" t="inlineStr">
        <is>
          <t>ANEBY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46301</v>
      </c>
      <c r="F122" t="inlineStr">
        <is>
          <t>JÖNKÖPINGS LÄN</t>
        </is>
      </c>
      <c r="G122" t="inlineStr">
        <is>
          <t>ANEBY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46301</v>
      </c>
      <c r="F123" t="inlineStr">
        <is>
          <t>JÖNKÖPINGS LÄN</t>
        </is>
      </c>
      <c r="G123" t="inlineStr">
        <is>
          <t>ANEBY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46301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46301</v>
      </c>
      <c r="F125" t="inlineStr">
        <is>
          <t>JÖNKÖPINGS LÄN</t>
        </is>
      </c>
      <c r="G125" t="inlineStr">
        <is>
          <t>ANEBY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6827-2026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46057</v>
      </c>
      <c r="E126" s="1" t="n">
        <v>46301</v>
      </c>
      <c r="F126" t="inlineStr">
        <is>
          <t>JÖNKÖPINGS LÄN</t>
        </is>
      </c>
      <c r="G126" t="inlineStr">
        <is>
          <t>ANEBY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7266-2026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46058</v>
      </c>
      <c r="E127" s="1" t="n">
        <v>46301</v>
      </c>
      <c r="F127" t="inlineStr">
        <is>
          <t>JÖNKÖPINGS LÄN</t>
        </is>
      </c>
      <c r="G127" t="inlineStr">
        <is>
          <t>ANEBY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43528-2025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45911</v>
      </c>
      <c r="E128" s="1" t="n">
        <v>46301</v>
      </c>
      <c r="F128" t="inlineStr">
        <is>
          <t>JÖNKÖPINGS LÄN</t>
        </is>
      </c>
      <c r="G128" t="inlineStr">
        <is>
          <t>ANEBY</t>
        </is>
      </c>
      <c r="H128" t="inlineStr">
        <is>
          <t>Övriga Aktiebolag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7263-2026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46058</v>
      </c>
      <c r="E129" s="1" t="n">
        <v>46301</v>
      </c>
      <c r="F129" t="inlineStr">
        <is>
          <t>JÖNKÖPINGS LÄN</t>
        </is>
      </c>
      <c r="G129" t="inlineStr">
        <is>
          <t>ANEBY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46301</v>
      </c>
      <c r="F130" t="inlineStr">
        <is>
          <t>JÖNKÖPINGS LÄN</t>
        </is>
      </c>
      <c r="G130" t="inlineStr">
        <is>
          <t>ANEBY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46301</v>
      </c>
      <c r="F131" t="inlineStr">
        <is>
          <t>JÖNKÖPINGS LÄN</t>
        </is>
      </c>
      <c r="G131" t="inlineStr">
        <is>
          <t>ANEBY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46301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46301</v>
      </c>
      <c r="F133" t="inlineStr">
        <is>
          <t>JÖNKÖPINGS LÄN</t>
        </is>
      </c>
      <c r="G133" t="inlineStr">
        <is>
          <t>ANEBY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46301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11565-2025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45727</v>
      </c>
      <c r="E135" s="1" t="n">
        <v>46301</v>
      </c>
      <c r="F135" t="inlineStr">
        <is>
          <t>JÖNKÖPINGS LÄN</t>
        </is>
      </c>
      <c r="G135" t="inlineStr">
        <is>
          <t>ANEBY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46301</v>
      </c>
      <c r="F136" t="inlineStr">
        <is>
          <t>JÖNKÖPINGS LÄN</t>
        </is>
      </c>
      <c r="G136" t="inlineStr">
        <is>
          <t>ANEBY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46301</v>
      </c>
      <c r="F137" t="inlineStr">
        <is>
          <t>JÖNKÖPINGS LÄN</t>
        </is>
      </c>
      <c r="G137" t="inlineStr">
        <is>
          <t>ANEBY</t>
        </is>
      </c>
      <c r="H137" t="inlineStr">
        <is>
          <t>Kyrkan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46301</v>
      </c>
      <c r="F138" t="inlineStr">
        <is>
          <t>JÖNKÖPINGS LÄN</t>
        </is>
      </c>
      <c r="G138" t="inlineStr">
        <is>
          <t>ANEBY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46301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46301</v>
      </c>
      <c r="F140" t="inlineStr">
        <is>
          <t>JÖNKÖPINGS LÄN</t>
        </is>
      </c>
      <c r="G140" t="inlineStr">
        <is>
          <t>ANEBY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45020</v>
      </c>
      <c r="E141" s="1" t="n">
        <v>46301</v>
      </c>
      <c r="F141" t="inlineStr">
        <is>
          <t>JÖNKÖPINGS LÄN</t>
        </is>
      </c>
      <c r="G141" t="inlineStr">
        <is>
          <t>ANEBY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46301</v>
      </c>
      <c r="F142" t="inlineStr">
        <is>
          <t>JÖNKÖPINGS LÄN</t>
        </is>
      </c>
      <c r="G142" t="inlineStr">
        <is>
          <t>ANEBY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46301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46301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46301</v>
      </c>
      <c r="F145" t="inlineStr">
        <is>
          <t>JÖNKÖPINGS LÄN</t>
        </is>
      </c>
      <c r="G145" t="inlineStr">
        <is>
          <t>ANEBY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48728-2025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46301</v>
      </c>
      <c r="F146" t="inlineStr">
        <is>
          <t>JÖNKÖPINGS LÄN</t>
        </is>
      </c>
      <c r="G146" t="inlineStr">
        <is>
          <t>ANEBY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46301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46301</v>
      </c>
      <c r="F148" t="inlineStr">
        <is>
          <t>JÖNKÖPINGS LÄN</t>
        </is>
      </c>
      <c r="G148" t="inlineStr">
        <is>
          <t>ANEBY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46301</v>
      </c>
      <c r="F149" t="inlineStr">
        <is>
          <t>JÖNKÖPINGS LÄN</t>
        </is>
      </c>
      <c r="G149" t="inlineStr">
        <is>
          <t>ANEBY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46301</v>
      </c>
      <c r="F150" t="inlineStr">
        <is>
          <t>JÖNKÖPINGS LÄN</t>
        </is>
      </c>
      <c r="G150" t="inlineStr">
        <is>
          <t>ANEBY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46301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46073</v>
      </c>
      <c r="E152" s="1" t="n">
        <v>46301</v>
      </c>
      <c r="F152" t="inlineStr">
        <is>
          <t>JÖNKÖPINGS LÄN</t>
        </is>
      </c>
      <c r="G152" t="inlineStr">
        <is>
          <t>ANEBY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46301</v>
      </c>
      <c r="F153" t="inlineStr">
        <is>
          <t>JÖNKÖPINGS LÄN</t>
        </is>
      </c>
      <c r="G153" t="inlineStr">
        <is>
          <t>ANEBY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45141</v>
      </c>
      <c r="E154" s="1" t="n">
        <v>46301</v>
      </c>
      <c r="F154" t="inlineStr">
        <is>
          <t>JÖNKÖPINGS LÄN</t>
        </is>
      </c>
      <c r="G154" t="inlineStr">
        <is>
          <t>ANEBY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46301</v>
      </c>
      <c r="F155" t="inlineStr">
        <is>
          <t>JÖNKÖPINGS LÄN</t>
        </is>
      </c>
      <c r="G155" t="inlineStr">
        <is>
          <t>ANEBY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46301</v>
      </c>
      <c r="F156" t="inlineStr">
        <is>
          <t>JÖNKÖPINGS LÄN</t>
        </is>
      </c>
      <c r="G156" t="inlineStr">
        <is>
          <t>ANEBY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46301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45379</v>
      </c>
      <c r="E158" s="1" t="n">
        <v>46301</v>
      </c>
      <c r="F158" t="inlineStr">
        <is>
          <t>JÖNKÖPINGS LÄN</t>
        </is>
      </c>
      <c r="G158" t="inlineStr">
        <is>
          <t>ANEBY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43613-2023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45184</v>
      </c>
      <c r="E159" s="1" t="n">
        <v>46301</v>
      </c>
      <c r="F159" t="inlineStr">
        <is>
          <t>JÖNKÖPINGS LÄN</t>
        </is>
      </c>
      <c r="G159" t="inlineStr">
        <is>
          <t>ANEBY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46301</v>
      </c>
      <c r="F160" t="inlineStr">
        <is>
          <t>JÖNKÖPINGS LÄN</t>
        </is>
      </c>
      <c r="G160" t="inlineStr">
        <is>
          <t>ANEBY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57174-2021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46301</v>
      </c>
      <c r="F161" t="inlineStr">
        <is>
          <t>JÖNKÖPINGS LÄN</t>
        </is>
      </c>
      <c r="G161" t="inlineStr">
        <is>
          <t>ANEBY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46301</v>
      </c>
      <c r="F162" t="inlineStr">
        <is>
          <t>JÖNKÖPINGS LÄN</t>
        </is>
      </c>
      <c r="G162" t="inlineStr">
        <is>
          <t>ANEBY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23349-2023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45076</v>
      </c>
      <c r="E163" s="1" t="n">
        <v>46301</v>
      </c>
      <c r="F163" t="inlineStr">
        <is>
          <t>JÖNKÖPINGS LÄN</t>
        </is>
      </c>
      <c r="G163" t="inlineStr">
        <is>
          <t>ANEBY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46301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46301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46301</v>
      </c>
      <c r="F166" t="inlineStr">
        <is>
          <t>JÖNKÖPINGS LÄN</t>
        </is>
      </c>
      <c r="G166" t="inlineStr">
        <is>
          <t>ANEBY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45028</v>
      </c>
      <c r="E167" s="1" t="n">
        <v>46301</v>
      </c>
      <c r="F167" t="inlineStr">
        <is>
          <t>JÖNKÖPINGS LÄN</t>
        </is>
      </c>
      <c r="G167" t="inlineStr">
        <is>
          <t>ANEBY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45182</v>
      </c>
      <c r="E168" s="1" t="n">
        <v>46301</v>
      </c>
      <c r="F168" t="inlineStr">
        <is>
          <t>JÖNKÖPINGS LÄN</t>
        </is>
      </c>
      <c r="G168" t="inlineStr">
        <is>
          <t>ANEBY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46098</v>
      </c>
      <c r="E169" s="1" t="n">
        <v>46301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20.7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45653</v>
      </c>
      <c r="E170" s="1" t="n">
        <v>46301</v>
      </c>
      <c r="F170" t="inlineStr">
        <is>
          <t>JÖNKÖPINGS LÄN</t>
        </is>
      </c>
      <c r="G170" t="inlineStr">
        <is>
          <t>ANEBY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46301</v>
      </c>
      <c r="F171" t="inlineStr">
        <is>
          <t>JÖNKÖPINGS LÄN</t>
        </is>
      </c>
      <c r="G171" t="inlineStr">
        <is>
          <t>ANEBY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46301</v>
      </c>
      <c r="F172" t="inlineStr">
        <is>
          <t>JÖNKÖPINGS LÄN</t>
        </is>
      </c>
      <c r="G172" t="inlineStr">
        <is>
          <t>ANEBY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45539</v>
      </c>
      <c r="E173" s="1" t="n">
        <v>46301</v>
      </c>
      <c r="F173" t="inlineStr">
        <is>
          <t>JÖNKÖPINGS LÄN</t>
        </is>
      </c>
      <c r="G173" t="inlineStr">
        <is>
          <t>ANEBY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46301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46301</v>
      </c>
      <c r="F175" t="inlineStr">
        <is>
          <t>JÖNKÖPINGS LÄN</t>
        </is>
      </c>
      <c r="G175" t="inlineStr">
        <is>
          <t>ANEBY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46301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46301</v>
      </c>
      <c r="F177" t="inlineStr">
        <is>
          <t>JÖNKÖPINGS LÄN</t>
        </is>
      </c>
      <c r="G177" t="inlineStr">
        <is>
          <t>ANEBY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45033</v>
      </c>
      <c r="E178" s="1" t="n">
        <v>46301</v>
      </c>
      <c r="F178" t="inlineStr">
        <is>
          <t>JÖNKÖPINGS LÄN</t>
        </is>
      </c>
      <c r="G178" t="inlineStr">
        <is>
          <t>ANEBY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46301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46301</v>
      </c>
      <c r="F180" t="inlineStr">
        <is>
          <t>JÖNKÖPINGS LÄN</t>
        </is>
      </c>
      <c r="G180" t="inlineStr">
        <is>
          <t>ANEBY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46301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46104</v>
      </c>
      <c r="E182" s="1" t="n">
        <v>46301</v>
      </c>
      <c r="F182" t="inlineStr">
        <is>
          <t>JÖNKÖPINGS LÄN</t>
        </is>
      </c>
      <c r="G182" t="inlineStr">
        <is>
          <t>ANEBY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46301</v>
      </c>
      <c r="F183" t="inlineStr">
        <is>
          <t>JÖNKÖPINGS LÄN</t>
        </is>
      </c>
      <c r="G183" t="inlineStr">
        <is>
          <t>ANEBY</t>
        </is>
      </c>
      <c r="H183" t="inlineStr">
        <is>
          <t>Övriga Aktiebolag</t>
        </is>
      </c>
      <c r="I183" t="n">
        <v>19.6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46301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46301</v>
      </c>
      <c r="F185" t="inlineStr">
        <is>
          <t>JÖNKÖPINGS LÄN</t>
        </is>
      </c>
      <c r="G185" t="inlineStr">
        <is>
          <t>ANEBY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46301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46301</v>
      </c>
      <c r="F187" t="inlineStr">
        <is>
          <t>JÖNKÖPINGS LÄN</t>
        </is>
      </c>
      <c r="G187" t="inlineStr">
        <is>
          <t>ANEBY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46301</v>
      </c>
      <c r="F188" t="inlineStr">
        <is>
          <t>JÖNKÖPINGS LÄN</t>
        </is>
      </c>
      <c r="G188" t="inlineStr">
        <is>
          <t>ANEBY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46301</v>
      </c>
      <c r="F189" t="inlineStr">
        <is>
          <t>JÖNKÖPINGS LÄN</t>
        </is>
      </c>
      <c r="G189" t="inlineStr">
        <is>
          <t>ANEBY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46126</v>
      </c>
      <c r="E190" s="1" t="n">
        <v>46301</v>
      </c>
      <c r="F190" t="inlineStr">
        <is>
          <t>JÖNKÖPINGS LÄN</t>
        </is>
      </c>
      <c r="G190" t="inlineStr">
        <is>
          <t>ANEBY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46301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46301</v>
      </c>
      <c r="F192" t="inlineStr">
        <is>
          <t>JÖNKÖPINGS LÄN</t>
        </is>
      </c>
      <c r="G192" t="inlineStr">
        <is>
          <t>ANEBY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44606</v>
      </c>
      <c r="E193" s="1" t="n">
        <v>46301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45016</v>
      </c>
      <c r="E194" s="1" t="n">
        <v>46301</v>
      </c>
      <c r="F194" t="inlineStr">
        <is>
          <t>JÖNKÖPINGS LÄN</t>
        </is>
      </c>
      <c r="G194" t="inlineStr">
        <is>
          <t>ANEBY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60094-2025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45993</v>
      </c>
      <c r="E195" s="1" t="n">
        <v>46301</v>
      </c>
      <c r="F195" t="inlineStr">
        <is>
          <t>JÖNKÖPINGS LÄN</t>
        </is>
      </c>
      <c r="G195" t="inlineStr">
        <is>
          <t>ANEBY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23354-2023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45076</v>
      </c>
      <c r="E196" s="1" t="n">
        <v>46301</v>
      </c>
      <c r="F196" t="inlineStr">
        <is>
          <t>JÖNKÖPINGS LÄN</t>
        </is>
      </c>
      <c r="G196" t="inlineStr">
        <is>
          <t>ANEBY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46301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46301</v>
      </c>
      <c r="F198" t="inlineStr">
        <is>
          <t>JÖNKÖPINGS LÄN</t>
        </is>
      </c>
      <c r="G198" t="inlineStr">
        <is>
          <t>ANEBY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46301</v>
      </c>
      <c r="F199" t="inlineStr">
        <is>
          <t>JÖNKÖPINGS LÄN</t>
        </is>
      </c>
      <c r="G199" t="inlineStr">
        <is>
          <t>ANEBY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46301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46301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46301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45086</v>
      </c>
      <c r="E203" s="1" t="n">
        <v>46301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46301</v>
      </c>
      <c r="F204" t="inlineStr">
        <is>
          <t>JÖNKÖPINGS LÄN</t>
        </is>
      </c>
      <c r="G204" t="inlineStr">
        <is>
          <t>ANEBY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45089</v>
      </c>
      <c r="E205" s="1" t="n">
        <v>46301</v>
      </c>
      <c r="F205" t="inlineStr">
        <is>
          <t>JÖNKÖPINGS LÄN</t>
        </is>
      </c>
      <c r="G205" t="inlineStr">
        <is>
          <t>ANEBY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45183</v>
      </c>
      <c r="E206" s="1" t="n">
        <v>46301</v>
      </c>
      <c r="F206" t="inlineStr">
        <is>
          <t>JÖNKÖPINGS LÄN</t>
        </is>
      </c>
      <c r="G206" t="inlineStr">
        <is>
          <t>ANEBY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46020</v>
      </c>
      <c r="E207" s="1" t="n">
        <v>46301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46301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46301</v>
      </c>
      <c r="F209" t="inlineStr">
        <is>
          <t>JÖNKÖPINGS LÄN</t>
        </is>
      </c>
      <c r="G209" t="inlineStr">
        <is>
          <t>ANEBY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46301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46301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45007</v>
      </c>
      <c r="E212" s="1" t="n">
        <v>46301</v>
      </c>
      <c r="F212" t="inlineStr">
        <is>
          <t>JÖNKÖPINGS LÄN</t>
        </is>
      </c>
      <c r="G212" t="inlineStr">
        <is>
          <t>ANEBY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46021</v>
      </c>
      <c r="E213" s="1" t="n">
        <v>46301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46301</v>
      </c>
      <c r="F214" t="inlineStr">
        <is>
          <t>JÖNKÖPINGS LÄN</t>
        </is>
      </c>
      <c r="G214" t="inlineStr">
        <is>
          <t>ANEBY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59507-2022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44900</v>
      </c>
      <c r="E215" s="1" t="n">
        <v>46301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46301</v>
      </c>
      <c r="F216" t="inlineStr">
        <is>
          <t>JÖNKÖPINGS LÄN</t>
        </is>
      </c>
      <c r="G216" t="inlineStr">
        <is>
          <t>ANEBY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46301</v>
      </c>
      <c r="F217" t="inlineStr">
        <is>
          <t>JÖNKÖPINGS LÄN</t>
        </is>
      </c>
      <c r="G217" t="inlineStr">
        <is>
          <t>ANEBY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56735-2021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44481</v>
      </c>
      <c r="E218" s="1" t="n">
        <v>46301</v>
      </c>
      <c r="F218" t="inlineStr">
        <is>
          <t>JÖNKÖPINGS LÄN</t>
        </is>
      </c>
      <c r="G218" t="inlineStr">
        <is>
          <t>ANEBY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44959</v>
      </c>
      <c r="E219" s="1" t="n">
        <v>46301</v>
      </c>
      <c r="F219" t="inlineStr">
        <is>
          <t>JÖNKÖPINGS LÄN</t>
        </is>
      </c>
      <c r="G219" t="inlineStr">
        <is>
          <t>ANEBY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45379</v>
      </c>
      <c r="E220" s="1" t="n">
        <v>46301</v>
      </c>
      <c r="F220" t="inlineStr">
        <is>
          <t>JÖNKÖPINGS LÄN</t>
        </is>
      </c>
      <c r="G220" t="inlineStr">
        <is>
          <t>ANEBY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45122</v>
      </c>
      <c r="E221" s="1" t="n">
        <v>46301</v>
      </c>
      <c r="F221" t="inlineStr">
        <is>
          <t>JÖNKÖPINGS LÄN</t>
        </is>
      </c>
      <c r="G221" t="inlineStr">
        <is>
          <t>ANEBY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46301</v>
      </c>
      <c r="F222" t="inlineStr">
        <is>
          <t>JÖNKÖPINGS LÄN</t>
        </is>
      </c>
      <c r="G222" t="inlineStr">
        <is>
          <t>ANEBY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46301</v>
      </c>
      <c r="F223" t="inlineStr">
        <is>
          <t>JÖNKÖPINGS LÄN</t>
        </is>
      </c>
      <c r="G223" t="inlineStr">
        <is>
          <t>ANEBY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46301</v>
      </c>
      <c r="F224" t="inlineStr">
        <is>
          <t>JÖNKÖPINGS LÄN</t>
        </is>
      </c>
      <c r="G224" t="inlineStr">
        <is>
          <t>ANEBY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44959</v>
      </c>
      <c r="E225" s="1" t="n">
        <v>46301</v>
      </c>
      <c r="F225" t="inlineStr">
        <is>
          <t>JÖNKÖPINGS LÄN</t>
        </is>
      </c>
      <c r="G225" t="inlineStr">
        <is>
          <t>ANEBY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45304</v>
      </c>
      <c r="E226" s="1" t="n">
        <v>46301</v>
      </c>
      <c r="F226" t="inlineStr">
        <is>
          <t>JÖNKÖPINGS LÄN</t>
        </is>
      </c>
      <c r="G226" t="inlineStr">
        <is>
          <t>ANEBY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45343</v>
      </c>
      <c r="E227" s="1" t="n">
        <v>46301</v>
      </c>
      <c r="F227" t="inlineStr">
        <is>
          <t>JÖNKÖPINGS LÄN</t>
        </is>
      </c>
      <c r="G227" t="inlineStr">
        <is>
          <t>ANEBY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38794-2023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45161</v>
      </c>
      <c r="E228" s="1" t="n">
        <v>46301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45468</v>
      </c>
      <c r="E229" s="1" t="n">
        <v>46301</v>
      </c>
      <c r="F229" t="inlineStr">
        <is>
          <t>JÖNKÖPINGS LÄN</t>
        </is>
      </c>
      <c r="G229" t="inlineStr">
        <is>
          <t>ANEBY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7945-2025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46301</v>
      </c>
      <c r="F230" t="inlineStr">
        <is>
          <t>JÖNKÖPINGS LÄN</t>
        </is>
      </c>
      <c r="G230" t="inlineStr">
        <is>
          <t>ANEBY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45552</v>
      </c>
      <c r="E231" s="1" t="n">
        <v>46301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45593</v>
      </c>
      <c r="E232" s="1" t="n">
        <v>46301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46301</v>
      </c>
      <c r="F233" t="inlineStr">
        <is>
          <t>JÖNKÖPINGS LÄN</t>
        </is>
      </c>
      <c r="G233" t="inlineStr">
        <is>
          <t>ANEBY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45600</v>
      </c>
      <c r="E234" s="1" t="n">
        <v>46301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54213-2024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45616</v>
      </c>
      <c r="E235" s="1" t="n">
        <v>46301</v>
      </c>
      <c r="F235" t="inlineStr">
        <is>
          <t>JÖNKÖPINGS LÄN</t>
        </is>
      </c>
      <c r="G235" t="inlineStr">
        <is>
          <t>ANEBY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46301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44578</v>
      </c>
      <c r="E237" s="1" t="n">
        <v>46301</v>
      </c>
      <c r="F237" t="inlineStr">
        <is>
          <t>JÖNKÖPINGS LÄN</t>
        </is>
      </c>
      <c r="G237" t="inlineStr">
        <is>
          <t>ANEBY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46301</v>
      </c>
      <c r="F238" t="inlineStr">
        <is>
          <t>JÖNKÖPINGS LÄN</t>
        </is>
      </c>
      <c r="G238" t="inlineStr">
        <is>
          <t>ANEBY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21356-2026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46147</v>
      </c>
      <c r="E239" s="1" t="n">
        <v>46301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45572</v>
      </c>
      <c r="E240" s="1" t="n">
        <v>46301</v>
      </c>
      <c r="F240" t="inlineStr">
        <is>
          <t>JÖNKÖPINGS LÄN</t>
        </is>
      </c>
      <c r="G240" t="inlineStr">
        <is>
          <t>ANEBY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46301</v>
      </c>
      <c r="F241" t="inlineStr">
        <is>
          <t>JÖNKÖPINGS LÄN</t>
        </is>
      </c>
      <c r="G241" t="inlineStr">
        <is>
          <t>ANEBY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46301</v>
      </c>
      <c r="F242" t="inlineStr">
        <is>
          <t>JÖNKÖPINGS LÄN</t>
        </is>
      </c>
      <c r="G242" t="inlineStr">
        <is>
          <t>ANEBY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12714-2023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45000</v>
      </c>
      <c r="E243" s="1" t="n">
        <v>46301</v>
      </c>
      <c r="F243" t="inlineStr">
        <is>
          <t>JÖNKÖPINGS LÄN</t>
        </is>
      </c>
      <c r="G243" t="inlineStr">
        <is>
          <t>ANEBY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46301</v>
      </c>
      <c r="F244" t="inlineStr">
        <is>
          <t>JÖNKÖPINGS LÄN</t>
        </is>
      </c>
      <c r="G244" t="inlineStr">
        <is>
          <t>ANEBY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45198</v>
      </c>
      <c r="E245" s="1" t="n">
        <v>46301</v>
      </c>
      <c r="F245" t="inlineStr">
        <is>
          <t>JÖNKÖPINGS LÄN</t>
        </is>
      </c>
      <c r="G245" t="inlineStr">
        <is>
          <t>ANEBY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46301</v>
      </c>
      <c r="F246" t="inlineStr">
        <is>
          <t>JÖNKÖPINGS LÄN</t>
        </is>
      </c>
      <c r="G246" t="inlineStr">
        <is>
          <t>ANEBY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45068</v>
      </c>
      <c r="E247" s="1" t="n">
        <v>46301</v>
      </c>
      <c r="F247" t="inlineStr">
        <is>
          <t>JÖNKÖPINGS LÄN</t>
        </is>
      </c>
      <c r="G247" t="inlineStr">
        <is>
          <t>ANEBY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46301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45616</v>
      </c>
      <c r="E249" s="1" t="n">
        <v>46301</v>
      </c>
      <c r="F249" t="inlineStr">
        <is>
          <t>JÖNKÖPINGS LÄN</t>
        </is>
      </c>
      <c r="G249" t="inlineStr">
        <is>
          <t>ANEBY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45316</v>
      </c>
      <c r="E250" s="1" t="n">
        <v>46301</v>
      </c>
      <c r="F250" t="inlineStr">
        <is>
          <t>JÖNKÖPINGS LÄN</t>
        </is>
      </c>
      <c r="G250" t="inlineStr">
        <is>
          <t>ANEBY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46301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10155-2024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45364</v>
      </c>
      <c r="E252" s="1" t="n">
        <v>46301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46301</v>
      </c>
      <c r="F253" t="inlineStr">
        <is>
          <t>JÖNKÖPINGS LÄN</t>
        </is>
      </c>
      <c r="G253" t="inlineStr">
        <is>
          <t>ANEBY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46301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46301</v>
      </c>
      <c r="F255" t="inlineStr">
        <is>
          <t>JÖNKÖPINGS LÄN</t>
        </is>
      </c>
      <c r="G255" t="inlineStr">
        <is>
          <t>ANEBY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46301</v>
      </c>
      <c r="F256" t="inlineStr">
        <is>
          <t>JÖNKÖPINGS LÄN</t>
        </is>
      </c>
      <c r="G256" t="inlineStr">
        <is>
          <t>ANEBY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46301</v>
      </c>
      <c r="F257" t="inlineStr">
        <is>
          <t>JÖNKÖPINGS LÄN</t>
        </is>
      </c>
      <c r="G257" t="inlineStr">
        <is>
          <t>ANEBY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46301</v>
      </c>
      <c r="F258" t="inlineStr">
        <is>
          <t>JÖNKÖPINGS LÄN</t>
        </is>
      </c>
      <c r="G258" t="inlineStr">
        <is>
          <t>ANEBY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46301</v>
      </c>
      <c r="F259" t="inlineStr">
        <is>
          <t>JÖNKÖPINGS LÄN</t>
        </is>
      </c>
      <c r="G259" t="inlineStr">
        <is>
          <t>ANEBY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46301</v>
      </c>
      <c r="F260" t="inlineStr">
        <is>
          <t>JÖNKÖPINGS LÄN</t>
        </is>
      </c>
      <c r="G260" t="inlineStr">
        <is>
          <t>ANEBY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44705</v>
      </c>
      <c r="E261" s="1" t="n">
        <v>46301</v>
      </c>
      <c r="F261" t="inlineStr">
        <is>
          <t>JÖNKÖPINGS LÄN</t>
        </is>
      </c>
      <c r="G261" t="inlineStr">
        <is>
          <t>ANEBY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45146</v>
      </c>
      <c r="E262" s="1" t="n">
        <v>46301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44678</v>
      </c>
      <c r="E263" s="1" t="n">
        <v>46301</v>
      </c>
      <c r="F263" t="inlineStr">
        <is>
          <t>JÖNKÖPINGS LÄN</t>
        </is>
      </c>
      <c r="G263" t="inlineStr">
        <is>
          <t>ANEBY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46301</v>
      </c>
      <c r="F264" t="inlineStr">
        <is>
          <t>JÖNKÖPINGS LÄN</t>
        </is>
      </c>
      <c r="G264" t="inlineStr">
        <is>
          <t>ANEBY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46301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46301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46301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44700</v>
      </c>
      <c r="E268" s="1" t="n">
        <v>46301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46185</v>
      </c>
      <c r="E269" s="1" t="n">
        <v>46301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46301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44671</v>
      </c>
      <c r="E271" s="1" t="n">
        <v>46301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26769-2022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44739</v>
      </c>
      <c r="E272" s="1" t="n">
        <v>46301</v>
      </c>
      <c r="F272" t="inlineStr">
        <is>
          <t>JÖNKÖPINGS LÄN</t>
        </is>
      </c>
      <c r="G272" t="inlineStr">
        <is>
          <t>ANEBY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44721</v>
      </c>
      <c r="E273" s="1" t="n">
        <v>46301</v>
      </c>
      <c r="F273" t="inlineStr">
        <is>
          <t>JÖNKÖPINGS LÄN</t>
        </is>
      </c>
      <c r="G273" t="inlineStr">
        <is>
          <t>ANEBY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46301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46301</v>
      </c>
      <c r="F275" t="inlineStr">
        <is>
          <t>JÖNKÖPINGS LÄN</t>
        </is>
      </c>
      <c r="G275" t="inlineStr">
        <is>
          <t>ANEBY</t>
        </is>
      </c>
      <c r="I275" t="n">
        <v>17.9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46301</v>
      </c>
      <c r="F276" t="inlineStr">
        <is>
          <t>JÖNKÖPINGS LÄN</t>
        </is>
      </c>
      <c r="G276" t="inlineStr">
        <is>
          <t>ANEBY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46301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46195</v>
      </c>
      <c r="E278" s="1" t="n">
        <v>46301</v>
      </c>
      <c r="F278" t="inlineStr">
        <is>
          <t>JÖNKÖPINGS LÄN</t>
        </is>
      </c>
      <c r="G278" t="inlineStr">
        <is>
          <t>ANEBY</t>
        </is>
      </c>
      <c r="H278" t="inlineStr">
        <is>
          <t>Kyrkan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46301</v>
      </c>
      <c r="F279" t="inlineStr">
        <is>
          <t>JÖNKÖPINGS LÄN</t>
        </is>
      </c>
      <c r="G279" t="inlineStr">
        <is>
          <t>ANEBY</t>
        </is>
      </c>
      <c r="H279" t="inlineStr">
        <is>
          <t>Kyrkan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45775</v>
      </c>
      <c r="E280" s="1" t="n">
        <v>46301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701-2024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45300</v>
      </c>
      <c r="E281" s="1" t="n">
        <v>46301</v>
      </c>
      <c r="F281" t="inlineStr">
        <is>
          <t>JÖNKÖPINGS LÄN</t>
        </is>
      </c>
      <c r="G281" t="inlineStr">
        <is>
          <t>ANEBY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19362-2025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45769</v>
      </c>
      <c r="E282" s="1" t="n">
        <v>46301</v>
      </c>
      <c r="F282" t="inlineStr">
        <is>
          <t>JÖNKÖPINGS LÄN</t>
        </is>
      </c>
      <c r="G282" t="inlineStr">
        <is>
          <t>ANEBY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46301</v>
      </c>
      <c r="F283" t="inlineStr">
        <is>
          <t>JÖNKÖPINGS LÄN</t>
        </is>
      </c>
      <c r="G283" t="inlineStr">
        <is>
          <t>ANEBY</t>
        </is>
      </c>
      <c r="H283" t="inlineStr">
        <is>
          <t>Kyrkan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45304</v>
      </c>
      <c r="E284" s="1" t="n">
        <v>46301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46301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46301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44847</v>
      </c>
      <c r="E287" s="1" t="n">
        <v>46301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46301</v>
      </c>
      <c r="F288" t="inlineStr">
        <is>
          <t>JÖNKÖPINGS LÄN</t>
        </is>
      </c>
      <c r="G288" t="inlineStr">
        <is>
          <t>ANEBY</t>
        </is>
      </c>
      <c r="I288" t="n">
        <v>13.8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57170-2021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44482</v>
      </c>
      <c r="E289" s="1" t="n">
        <v>46301</v>
      </c>
      <c r="F289" t="inlineStr">
        <is>
          <t>JÖNKÖPINGS LÄN</t>
        </is>
      </c>
      <c r="G289" t="inlineStr">
        <is>
          <t>ANEBY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46301</v>
      </c>
      <c r="F290" t="inlineStr">
        <is>
          <t>JÖNKÖPINGS LÄN</t>
        </is>
      </c>
      <c r="G290" t="inlineStr">
        <is>
          <t>ANEBY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46301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46301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46301</v>
      </c>
      <c r="F293" t="inlineStr">
        <is>
          <t>JÖNKÖPINGS LÄN</t>
        </is>
      </c>
      <c r="G293" t="inlineStr">
        <is>
          <t>ANEBY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46214</v>
      </c>
      <c r="E294" s="1" t="n">
        <v>46301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46214</v>
      </c>
      <c r="E295" s="1" t="n">
        <v>46301</v>
      </c>
      <c r="F295" t="inlineStr">
        <is>
          <t>JÖNKÖPINGS LÄN</t>
        </is>
      </c>
      <c r="G295" t="inlineStr">
        <is>
          <t>ANEBY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46214</v>
      </c>
      <c r="E296" s="1" t="n">
        <v>46301</v>
      </c>
      <c r="F296" t="inlineStr">
        <is>
          <t>JÖNKÖPINGS LÄN</t>
        </is>
      </c>
      <c r="G296" t="inlineStr">
        <is>
          <t>ANEBY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67414-2021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46301</v>
      </c>
      <c r="F297" t="inlineStr">
        <is>
          <t>JÖNKÖPINGS LÄN</t>
        </is>
      </c>
      <c r="G297" t="inlineStr">
        <is>
          <t>ANEBY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44565</v>
      </c>
      <c r="E298" s="1" t="n">
        <v>46301</v>
      </c>
      <c r="F298" t="inlineStr">
        <is>
          <t>JÖNKÖPINGS LÄN</t>
        </is>
      </c>
      <c r="G298" t="inlineStr">
        <is>
          <t>ANEBY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44985</v>
      </c>
      <c r="E299" s="1" t="n">
        <v>46301</v>
      </c>
      <c r="F299" t="inlineStr">
        <is>
          <t>JÖNKÖPINGS LÄN</t>
        </is>
      </c>
      <c r="G299" t="inlineStr">
        <is>
          <t>ANEBY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46301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44957</v>
      </c>
      <c r="E301" s="1" t="n">
        <v>46301</v>
      </c>
      <c r="F301" t="inlineStr">
        <is>
          <t>JÖNKÖPINGS LÄN</t>
        </is>
      </c>
      <c r="G301" t="inlineStr">
        <is>
          <t>ANEBY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35773-2023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45148</v>
      </c>
      <c r="E302" s="1" t="n">
        <v>46301</v>
      </c>
      <c r="F302" t="inlineStr">
        <is>
          <t>JÖNKÖPINGS LÄN</t>
        </is>
      </c>
      <c r="G302" t="inlineStr">
        <is>
          <t>ANEBY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46265</v>
      </c>
      <c r="E303" s="1" t="n">
        <v>46301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46265</v>
      </c>
      <c r="E304" s="1" t="n">
        <v>46301</v>
      </c>
      <c r="F304" t="inlineStr">
        <is>
          <t>JÖNKÖPINGS LÄN</t>
        </is>
      </c>
      <c r="G304" t="inlineStr">
        <is>
          <t>ANEBY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46224</v>
      </c>
      <c r="E305" s="1" t="n">
        <v>46301</v>
      </c>
      <c r="F305" t="inlineStr">
        <is>
          <t>JÖNKÖPINGS LÄN</t>
        </is>
      </c>
      <c r="G305" t="inlineStr">
        <is>
          <t>ANEBY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55688-2022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44888</v>
      </c>
      <c r="E306" s="1" t="n">
        <v>46301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46265</v>
      </c>
      <c r="E307" s="1" t="n">
        <v>46301</v>
      </c>
      <c r="F307" t="inlineStr">
        <is>
          <t>JÖNKÖPINGS LÄN</t>
        </is>
      </c>
      <c r="G307" t="inlineStr">
        <is>
          <t>ANEBY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46301</v>
      </c>
      <c r="F308" t="inlineStr">
        <is>
          <t>JÖNKÖPINGS LÄN</t>
        </is>
      </c>
      <c r="G308" t="inlineStr">
        <is>
          <t>ANEBY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36053-2026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46267</v>
      </c>
      <c r="E309" s="1" t="n">
        <v>46301</v>
      </c>
      <c r="F309" t="inlineStr">
        <is>
          <t>JÖNKÖPINGS LÄN</t>
        </is>
      </c>
      <c r="G309" t="inlineStr">
        <is>
          <t>ANEBY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45365</v>
      </c>
      <c r="E310" s="1" t="n">
        <v>46301</v>
      </c>
      <c r="F310" t="inlineStr">
        <is>
          <t>JÖNKÖPINGS LÄN</t>
        </is>
      </c>
      <c r="G310" t="inlineStr">
        <is>
          <t>ANEBY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46301</v>
      </c>
      <c r="F311" t="inlineStr">
        <is>
          <t>JÖNKÖPINGS LÄN</t>
        </is>
      </c>
      <c r="G311" t="inlineStr">
        <is>
          <t>ANEBY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45300</v>
      </c>
      <c r="E312" s="1" t="n">
        <v>46301</v>
      </c>
      <c r="F312" t="inlineStr">
        <is>
          <t>JÖNKÖPINGS LÄN</t>
        </is>
      </c>
      <c r="G312" t="inlineStr">
        <is>
          <t>ANEBY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46301</v>
      </c>
      <c r="F313" t="inlineStr">
        <is>
          <t>JÖNKÖPINGS LÄN</t>
        </is>
      </c>
      <c r="G313" t="inlineStr">
        <is>
          <t>ANEBY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46301</v>
      </c>
      <c r="F314" t="inlineStr">
        <is>
          <t>JÖNKÖPINGS LÄN</t>
        </is>
      </c>
      <c r="G314" t="inlineStr">
        <is>
          <t>ANEBY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46273</v>
      </c>
      <c r="E315" s="1" t="n">
        <v>46301</v>
      </c>
      <c r="F315" t="inlineStr">
        <is>
          <t>JÖNKÖPINGS LÄN</t>
        </is>
      </c>
      <c r="G315" t="inlineStr">
        <is>
          <t>ANEBY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46273</v>
      </c>
      <c r="E316" s="1" t="n">
        <v>46301</v>
      </c>
      <c r="F316" t="inlineStr">
        <is>
          <t>JÖNKÖPINGS LÄN</t>
        </is>
      </c>
      <c r="G316" t="inlineStr">
        <is>
          <t>ANEBY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46301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46301</v>
      </c>
      <c r="F318" t="inlineStr">
        <is>
          <t>JÖNKÖPINGS LÄN</t>
        </is>
      </c>
      <c r="G318" t="inlineStr">
        <is>
          <t>ANEBY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10456-2023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44981</v>
      </c>
      <c r="E319" s="1" t="n">
        <v>46301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46301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46283</v>
      </c>
      <c r="E321" s="1" t="n">
        <v>46301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46301</v>
      </c>
      <c r="F322" t="inlineStr">
        <is>
          <t>JÖNKÖPINGS LÄN</t>
        </is>
      </c>
      <c r="G322" t="inlineStr">
        <is>
          <t>ANEBY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46286</v>
      </c>
      <c r="E323" s="1" t="n">
        <v>46301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9540-2024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45359</v>
      </c>
      <c r="E324" s="1" t="n">
        <v>46301</v>
      </c>
      <c r="F324" t="inlineStr">
        <is>
          <t>JÖNKÖPINGS LÄN</t>
        </is>
      </c>
      <c r="G324" t="inlineStr">
        <is>
          <t>ANEBY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45146</v>
      </c>
      <c r="E325" s="1" t="n">
        <v>46301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46301</v>
      </c>
      <c r="F326" t="inlineStr">
        <is>
          <t>JÖNKÖPINGS LÄN</t>
        </is>
      </c>
      <c r="G326" t="inlineStr">
        <is>
          <t>ANEBY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46301</v>
      </c>
      <c r="F327" t="inlineStr">
        <is>
          <t>JÖNKÖPINGS LÄN</t>
        </is>
      </c>
      <c r="G327" t="inlineStr">
        <is>
          <t>ANEBY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45033</v>
      </c>
      <c r="E328" s="1" t="n">
        <v>46301</v>
      </c>
      <c r="F328" t="inlineStr">
        <is>
          <t>JÖNKÖPINGS LÄN</t>
        </is>
      </c>
      <c r="G328" t="inlineStr">
        <is>
          <t>ANEBY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46301</v>
      </c>
      <c r="F329" t="inlineStr">
        <is>
          <t>JÖNKÖPINGS LÄN</t>
        </is>
      </c>
      <c r="G329" t="inlineStr">
        <is>
          <t>ANEBY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17082-2024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45412</v>
      </c>
      <c r="E330" s="1" t="n">
        <v>46301</v>
      </c>
      <c r="F330" t="inlineStr">
        <is>
          <t>JÖNKÖPINGS LÄN</t>
        </is>
      </c>
      <c r="G330" t="inlineStr">
        <is>
          <t>ANEBY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46301</v>
      </c>
      <c r="F331" t="inlineStr">
        <is>
          <t>JÖNKÖPINGS LÄN</t>
        </is>
      </c>
      <c r="G331" t="inlineStr">
        <is>
          <t>ANEBY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45365</v>
      </c>
      <c r="E332" s="1" t="n">
        <v>46301</v>
      </c>
      <c r="F332" t="inlineStr">
        <is>
          <t>JÖNKÖPINGS LÄN</t>
        </is>
      </c>
      <c r="G332" t="inlineStr">
        <is>
          <t>ANEBY</t>
        </is>
      </c>
      <c r="H332" t="inlineStr">
        <is>
          <t>Sveaskog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46301</v>
      </c>
      <c r="F333" t="inlineStr">
        <is>
          <t>JÖNKÖPINGS LÄN</t>
        </is>
      </c>
      <c r="G333" t="inlineStr">
        <is>
          <t>ANEBY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45077</v>
      </c>
      <c r="E334" s="1" t="n">
        <v>46301</v>
      </c>
      <c r="F334" t="inlineStr">
        <is>
          <t>JÖNKÖPINGS LÄN</t>
        </is>
      </c>
      <c r="G334" t="inlineStr">
        <is>
          <t>ANEBY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46301</v>
      </c>
      <c r="F335" t="inlineStr">
        <is>
          <t>JÖNKÖPINGS LÄN</t>
        </is>
      </c>
      <c r="G335" t="inlineStr">
        <is>
          <t>ANEBY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46294</v>
      </c>
      <c r="E336" s="1" t="n">
        <v>46301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46301</v>
      </c>
      <c r="F337" t="inlineStr">
        <is>
          <t>JÖNKÖPINGS LÄN</t>
        </is>
      </c>
      <c r="G337" t="inlineStr">
        <is>
          <t>ANEBY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46301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46301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46301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46301</v>
      </c>
      <c r="F341" t="inlineStr">
        <is>
          <t>JÖNKÖPINGS LÄN</t>
        </is>
      </c>
      <c r="G341" t="inlineStr">
        <is>
          <t>ANEBY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41236-2026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46300</v>
      </c>
      <c r="E342" s="1" t="n">
        <v>46301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46254</v>
      </c>
      <c r="E343" s="1" t="n">
        <v>46301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46301</v>
      </c>
      <c r="F344" t="inlineStr">
        <is>
          <t>JÖNKÖPINGS LÄN</t>
        </is>
      </c>
      <c r="G344" t="inlineStr">
        <is>
          <t>ANEBY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46301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46301</v>
      </c>
      <c r="F346" t="inlineStr">
        <is>
          <t>JÖNKÖPINGS LÄN</t>
        </is>
      </c>
      <c r="G346" t="inlineStr">
        <is>
          <t>ANEBY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46301</v>
      </c>
      <c r="F347" t="inlineStr">
        <is>
          <t>JÖNKÖPINGS LÄN</t>
        </is>
      </c>
      <c r="G347" t="inlineStr">
        <is>
          <t>ANEBY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34850-2026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46255</v>
      </c>
      <c r="E348" s="1" t="n">
        <v>46301</v>
      </c>
      <c r="F348" t="inlineStr">
        <is>
          <t>JÖNKÖPINGS LÄN</t>
        </is>
      </c>
      <c r="G348" t="inlineStr">
        <is>
          <t>ANEBY</t>
        </is>
      </c>
      <c r="H348" t="inlineStr">
        <is>
          <t>Övriga Aktiebolag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805-2022</t>
        </is>
      </c>
      <c r="B349" t="inlineStr">
        <is>
          <t>samrådsanmälan</t>
        </is>
      </c>
      <c r="C349" t="inlineStr">
        <is>
          <t>Skogsbilväg</t>
        </is>
      </c>
      <c r="D349" s="1" t="n">
        <v>44603</v>
      </c>
      <c r="E349" s="1" t="n">
        <v>46301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46301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46301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46301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7492-2021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44475</v>
      </c>
      <c r="E353" s="1" t="n">
        <v>46301</v>
      </c>
      <c r="F353" t="inlineStr">
        <is>
          <t>JÖNKÖPINGS LÄN</t>
        </is>
      </c>
      <c r="G353" t="inlineStr">
        <is>
          <t>ANEBY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46301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46301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46301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46301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6634-2022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46301</v>
      </c>
      <c r="F358" t="inlineStr">
        <is>
          <t>JÖNKÖPINGS LÄN</t>
        </is>
      </c>
      <c r="G358" t="inlineStr">
        <is>
          <t>ANEBY</t>
        </is>
      </c>
      <c r="I358" t="n">
        <v>34.3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6623-2022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46301</v>
      </c>
      <c r="F359" t="inlineStr">
        <is>
          <t>JÖNKÖPINGS LÄN</t>
        </is>
      </c>
      <c r="G359" t="inlineStr">
        <is>
          <t>ANEBY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45702</v>
      </c>
      <c r="E360" s="1" t="n">
        <v>46301</v>
      </c>
      <c r="F360" t="inlineStr">
        <is>
          <t>JÖNKÖPINGS LÄN</t>
        </is>
      </c>
      <c r="G360" t="inlineStr">
        <is>
          <t>ANEBY</t>
        </is>
      </c>
      <c r="I360" t="n">
        <v>22.8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20-2026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46029</v>
      </c>
      <c r="E361" s="1" t="n">
        <v>46301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1152-2026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46135</v>
      </c>
      <c r="E362" s="1" t="n">
        <v>46301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2026-10-06T01:54:58Z</dcterms:created>
  <dcterms:modified xmlns:dcterms="http://purl.org/dc/terms/" xmlns:xsi="http://www.w3.org/2001/XMLSchema-instance" xsi:type="dcterms:W3CDTF">2026-10-06T01:54:58Z</dcterms:modified>
</cp:coreProperties>
</file>