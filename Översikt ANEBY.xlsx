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46274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46274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46274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46274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46274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46274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46274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46274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43750-2025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46274</v>
      </c>
      <c r="F14" t="inlineStr">
        <is>
          <t>JÖNKÖPINGS LÄN</t>
        </is>
      </c>
      <c r="G14" t="inlineStr">
        <is>
          <t>ANEBY</t>
        </is>
      </c>
      <c r="I14" t="n">
        <v>1.1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Brunlångöra
Nordfladdermus
Björksplintborre
Större brunfladdermus</t>
        </is>
      </c>
      <c r="W14">
        <f>HYPERLINK("https://klasma.github.io/Logging_0604/artfynd/A 43750-2025 artfynd.xlsx", "A 43750-2025")</f>
        <v/>
      </c>
      <c r="X14">
        <f>HYPERLINK("https://klasma.github.io/Logging_0604/kartor/A 43750-2025 karta.png", "A 43750-2025")</f>
        <v/>
      </c>
      <c r="Y14">
        <f>HYPERLINK("https://klasma.github.io/Logging_0604/kartor_geotiff/A 43750-2025 georefererad karta.tif", "A 43750-2025")</f>
        <v/>
      </c>
      <c r="AA14">
        <f>HYPERLINK("https://klasma.github.io/Logging_0604/klagomål/A 43750-2025 FSC-klagomål.docx", "A 43750-2025")</f>
        <v/>
      </c>
      <c r="AB14">
        <f>HYPERLINK("https://klasma.github.io/Logging_0604/klagomålsmail/A 43750-2025 FSC-klagomål mail.docx", "A 43750-2025")</f>
        <v/>
      </c>
      <c r="AC14">
        <f>HYPERLINK("https://klasma.github.io/Logging_0604/tillsyn/A 43750-2025 tillsynsbegäran.docx", "A 43750-2025")</f>
        <v/>
      </c>
      <c r="AD14">
        <f>HYPERLINK("https://klasma.github.io/Logging_0604/tillsynsmail/A 43750-2025 tillsynsbegäran mail.docx", "A 43750-2025")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46274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46274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46274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46274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46274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46274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46274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46274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46274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46274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46274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46274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46274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8117-2025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45707</v>
      </c>
      <c r="E28" s="1" t="n">
        <v>46274</v>
      </c>
      <c r="F28" t="inlineStr">
        <is>
          <t>JÖNKÖPINGS LÄN</t>
        </is>
      </c>
      <c r="G28" t="inlineStr">
        <is>
          <t>ANEBY</t>
        </is>
      </c>
      <c r="I28" t="n">
        <v>2.3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Enkelbeckasin</t>
        </is>
      </c>
      <c r="W28">
        <f>HYPERLINK("https://klasma.github.io/Logging_0604/artfynd/A 8117-2025 artfynd.xlsx", "A 8117-2025")</f>
        <v/>
      </c>
      <c r="X28">
        <f>HYPERLINK("https://klasma.github.io/Logging_0604/kartor/A 8117-2025 karta.png", "A 8117-2025")</f>
        <v/>
      </c>
      <c r="Y28">
        <f>HYPERLINK("https://klasma.github.io/Logging_0604/kartor_geotiff/A 8117-2025 georefererad karta.tif", "A 8117-2025")</f>
        <v/>
      </c>
      <c r="AA28">
        <f>HYPERLINK("https://klasma.github.io/Logging_0604/klagomål/A 8117-2025 FSC-klagomål.docx", "A 8117-2025")</f>
        <v/>
      </c>
      <c r="AB28">
        <f>HYPERLINK("https://klasma.github.io/Logging_0604/klagomålsmail/A 8117-2025 FSC-klagomål mail.docx", "A 8117-2025")</f>
        <v/>
      </c>
      <c r="AC28">
        <f>HYPERLINK("https://klasma.github.io/Logging_0604/tillsyn/A 8117-2025 tillsynsbegäran.docx", "A 8117-2025")</f>
        <v/>
      </c>
      <c r="AD28">
        <f>HYPERLINK("https://klasma.github.io/Logging_0604/tillsynsmail/A 8117-2025 tillsynsbegäran mail.docx", "A 8117-2025")</f>
        <v/>
      </c>
      <c r="AE28">
        <f>HYPERLINK("https://klasma.github.io/Logging_0604/fåglar/A 8117-2025 prioriterade fågelarter.docx", "A 8117-2025")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46274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46274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10358-2024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45365</v>
      </c>
      <c r="E31" s="1" t="n">
        <v>46274</v>
      </c>
      <c r="F31" t="inlineStr">
        <is>
          <t>JÖNKÖPINGS LÄN</t>
        </is>
      </c>
      <c r="G31" t="inlineStr">
        <is>
          <t>ANEBY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HYPERLINK("https://klasma.github.io/Logging_0604/artfynd/A 10358-2024 artfynd.xlsx", "A 10358-2024")</f>
        <v/>
      </c>
      <c r="X31">
        <f>HYPERLINK("https://klasma.github.io/Logging_0604/kartor/A 10358-2024 karta.png", "A 10358-2024")</f>
        <v/>
      </c>
      <c r="Y31">
        <f>HYPERLINK("https://klasma.github.io/Logging_0604/kartor_geotiff/A 10358-2024 georefererad karta.tif", "A 10358-2024")</f>
        <v/>
      </c>
      <c r="AA31">
        <f>HYPERLINK("https://klasma.github.io/Logging_0604/klagomål/A 10358-2024 FSC-klagomål.docx", "A 10358-2024")</f>
        <v/>
      </c>
      <c r="AB31">
        <f>HYPERLINK("https://klasma.github.io/Logging_0604/klagomålsmail/A 10358-2024 FSC-klagomål mail.docx", "A 10358-2024")</f>
        <v/>
      </c>
      <c r="AC31">
        <f>HYPERLINK("https://klasma.github.io/Logging_0604/tillsyn/A 10358-2024 tillsynsbegäran.docx", "A 10358-2024")</f>
        <v/>
      </c>
      <c r="AD31">
        <f>HYPERLINK("https://klasma.github.io/Logging_0604/tillsynsmail/A 10358-2024 tillsynsbegäran mail.docx", "A 10358-2024")</f>
        <v/>
      </c>
    </row>
    <row r="32" ht="15" customHeight="1">
      <c r="A32" t="inlineStr">
        <is>
          <t>A 10010-2023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44985</v>
      </c>
      <c r="E32" s="1" t="n">
        <v>46274</v>
      </c>
      <c r="F32" t="inlineStr">
        <is>
          <t>JÖNKÖPINGS LÄN</t>
        </is>
      </c>
      <c r="G32" t="inlineStr">
        <is>
          <t>ANEBY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HYPERLINK("https://klasma.github.io/Logging_0604/artfynd/A 10010-2023 artfynd.xlsx", "A 10010-2023")</f>
        <v/>
      </c>
      <c r="X32">
        <f>HYPERLINK("https://klasma.github.io/Logging_0604/kartor/A 10010-2023 karta.png", "A 10010-2023")</f>
        <v/>
      </c>
      <c r="Y32">
        <f>HYPERLINK("https://klasma.github.io/Logging_0604/kartor_geotiff/A 10010-2023 georefererad karta.tif", "A 10010-2023")</f>
        <v/>
      </c>
      <c r="AA32">
        <f>HYPERLINK("https://klasma.github.io/Logging_0604/klagomål/A 10010-2023 FSC-klagomål.docx", "A 10010-2023")</f>
        <v/>
      </c>
      <c r="AB32">
        <f>HYPERLINK("https://klasma.github.io/Logging_0604/klagomålsmail/A 10010-2023 FSC-klagomål mail.docx", "A 10010-2023")</f>
        <v/>
      </c>
      <c r="AC32">
        <f>HYPERLINK("https://klasma.github.io/Logging_0604/tillsyn/A 10010-2023 tillsynsbegäran.docx", "A 10010-2023")</f>
        <v/>
      </c>
      <c r="AD32">
        <f>HYPERLINK("https://klasma.github.io/Logging_0604/tillsynsmail/A 10010-2023 tillsynsbegäran mail.docx", "A 10010-2023")</f>
        <v/>
      </c>
    </row>
    <row r="33" ht="15" customHeight="1">
      <c r="A33" t="inlineStr">
        <is>
          <t>A 24820-2026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46274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Grönvit nattviol</t>
        </is>
      </c>
      <c r="W33">
        <f>HYPERLINK("https://klasma.github.io/Logging_0604/artfynd/A 24820-2026 artfynd.xlsx", "A 24820-2026")</f>
        <v/>
      </c>
      <c r="X33">
        <f>HYPERLINK("https://klasma.github.io/Logging_0604/kartor/A 24820-2026 karta.png", "A 24820-2026")</f>
        <v/>
      </c>
      <c r="Y33">
        <f>HYPERLINK("https://klasma.github.io/Logging_0604/kartor_geotiff/A 24820-2026 georefererad karta.tif", "A 24820-2026")</f>
        <v/>
      </c>
      <c r="AA33">
        <f>HYPERLINK("https://klasma.github.io/Logging_0604/klagomål/A 24820-2026 FSC-klagomål.docx", "A 24820-2026")</f>
        <v/>
      </c>
      <c r="AB33">
        <f>HYPERLINK("https://klasma.github.io/Logging_0604/klagomålsmail/A 24820-2026 FSC-klagomål mail.docx", "A 24820-2026")</f>
        <v/>
      </c>
      <c r="AC33">
        <f>HYPERLINK("https://klasma.github.io/Logging_0604/tillsyn/A 24820-2026 tillsynsbegäran.docx", "A 24820-2026")</f>
        <v/>
      </c>
      <c r="AD33">
        <f>HYPERLINK("https://klasma.github.io/Logging_0604/tillsynsmail/A 24820-2026 tillsynsbegäran mail.docx", "A 24820-2026")</f>
        <v/>
      </c>
    </row>
    <row r="34" ht="15" customHeight="1">
      <c r="A34" t="inlineStr">
        <is>
          <t>A 25891-2026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46274</v>
      </c>
      <c r="F34" t="inlineStr">
        <is>
          <t>JÖNKÖPINGS LÄN</t>
        </is>
      </c>
      <c r="G34" t="inlineStr">
        <is>
          <t>ANEBY</t>
        </is>
      </c>
      <c r="I34" t="n">
        <v>5.6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Stor ängsmaskros</t>
        </is>
      </c>
      <c r="W34">
        <f>HYPERLINK("https://klasma.github.io/Logging_0604/artfynd/A 25891-2026 artfynd.xlsx", "A 25891-2026")</f>
        <v/>
      </c>
      <c r="X34">
        <f>HYPERLINK("https://klasma.github.io/Logging_0604/kartor/A 25891-2026 karta.png", "A 25891-2026")</f>
        <v/>
      </c>
      <c r="Y34">
        <f>HYPERLINK("https://klasma.github.io/Logging_0604/kartor_geotiff/A 25891-2026 georefererad karta.tif", "A 25891-2026")</f>
        <v/>
      </c>
      <c r="AA34">
        <f>HYPERLINK("https://klasma.github.io/Logging_0604/klagomål/A 25891-2026 FSC-klagomål.docx", "A 25891-2026")</f>
        <v/>
      </c>
      <c r="AB34">
        <f>HYPERLINK("https://klasma.github.io/Logging_0604/klagomålsmail/A 25891-2026 FSC-klagomål mail.docx", "A 25891-2026")</f>
        <v/>
      </c>
      <c r="AC34">
        <f>HYPERLINK("https://klasma.github.io/Logging_0604/tillsyn/A 25891-2026 tillsynsbegäran.docx", "A 25891-2026")</f>
        <v/>
      </c>
      <c r="AD34">
        <f>HYPERLINK("https://klasma.github.io/Logging_0604/tillsynsmail/A 25891-2026 tillsynsbegäran mail.docx", "A 25891-2026")</f>
        <v/>
      </c>
    </row>
    <row r="35" ht="15" customHeight="1">
      <c r="A35" t="inlineStr">
        <is>
          <t>A 26784-2022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44740</v>
      </c>
      <c r="E35" s="1" t="n">
        <v>46274</v>
      </c>
      <c r="F35" t="inlineStr">
        <is>
          <t>JÖNKÖPINGS LÄN</t>
        </is>
      </c>
      <c r="G35" t="inlineStr">
        <is>
          <t>ANEBY</t>
        </is>
      </c>
      <c r="I35" t="n">
        <v>1.1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Vårstarr</t>
        </is>
      </c>
      <c r="W35">
        <f>HYPERLINK("https://klasma.github.io/Logging_0604/artfynd/A 26784-2022 artfynd.xlsx", "A 26784-2022")</f>
        <v/>
      </c>
      <c r="X35">
        <f>HYPERLINK("https://klasma.github.io/Logging_0604/kartor/A 26784-2022 karta.png", "A 26784-2022")</f>
        <v/>
      </c>
      <c r="Y35">
        <f>HYPERLINK("https://klasma.github.io/Logging_0604/kartor_geotiff/A 26784-2022 georefererad karta.tif", "A 26784-2022")</f>
        <v/>
      </c>
      <c r="AA35">
        <f>HYPERLINK("https://klasma.github.io/Logging_0604/klagomål/A 26784-2022 FSC-klagomål.docx", "A 26784-2022")</f>
        <v/>
      </c>
      <c r="AB35">
        <f>HYPERLINK("https://klasma.github.io/Logging_0604/klagomålsmail/A 26784-2022 FSC-klagomål mail.docx", "A 26784-2022")</f>
        <v/>
      </c>
      <c r="AC35">
        <f>HYPERLINK("https://klasma.github.io/Logging_0604/tillsyn/A 26784-2022 tillsynsbegäran.docx", "A 26784-2022")</f>
        <v/>
      </c>
      <c r="AD35">
        <f>HYPERLINK("https://klasma.github.io/Logging_0604/tillsynsmail/A 26784-2022 tillsynsbegäran mail.docx", "A 26784-2022")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46274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38728-2024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46274</v>
      </c>
      <c r="F37" t="inlineStr">
        <is>
          <t>JÖNKÖPINGS LÄN</t>
        </is>
      </c>
      <c r="G37" t="inlineStr">
        <is>
          <t>ANEBY</t>
        </is>
      </c>
      <c r="I37" t="n">
        <v>5.5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HYPERLINK("https://klasma.github.io/Logging_0604/artfynd/A 38728-2024 artfynd.xlsx", "A 38728-2024")</f>
        <v/>
      </c>
      <c r="X37">
        <f>HYPERLINK("https://klasma.github.io/Logging_0604/kartor/A 38728-2024 karta.png", "A 38728-2024")</f>
        <v/>
      </c>
      <c r="Y37">
        <f>HYPERLINK("https://klasma.github.io/Logging_0604/kartor_geotiff/A 38728-2024 georefererad karta.tif", "A 38728-2024")</f>
        <v/>
      </c>
      <c r="AA37">
        <f>HYPERLINK("https://klasma.github.io/Logging_0604/klagomål/A 38728-2024 FSC-klagomål.docx", "A 38728-2024")</f>
        <v/>
      </c>
      <c r="AB37">
        <f>HYPERLINK("https://klasma.github.io/Logging_0604/klagomålsmail/A 38728-2024 FSC-klagomål mail.docx", "A 38728-2024")</f>
        <v/>
      </c>
      <c r="AC37">
        <f>HYPERLINK("https://klasma.github.io/Logging_0604/tillsyn/A 38728-2024 tillsynsbegäran.docx", "A 38728-2024")</f>
        <v/>
      </c>
      <c r="AD37">
        <f>HYPERLINK("https://klasma.github.io/Logging_0604/tillsynsmail/A 38728-2024 tillsynsbegäran mail.docx", "A 38728-2024")</f>
        <v/>
      </c>
      <c r="AE37">
        <f>HYPERLINK("https://klasma.github.io/Logging_0604/fåglar/A 38728-2024 prioriterade fågelarter.docx", "A 38728-2024")</f>
        <v/>
      </c>
    </row>
    <row r="38" ht="15" customHeight="1">
      <c r="A38" t="inlineStr">
        <is>
          <t>A 13163-2024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45386</v>
      </c>
      <c r="E38" s="1" t="n">
        <v>46274</v>
      </c>
      <c r="F38" t="inlineStr">
        <is>
          <t>JÖNKÖPINGS LÄN</t>
        </is>
      </c>
      <c r="G38" t="inlineStr">
        <is>
          <t>ANEBY</t>
        </is>
      </c>
      <c r="I38" t="n">
        <v>6.9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HYPERLINK("https://klasma.github.io/Logging_0604/artfynd/A 13163-2024 artfynd.xlsx", "A 13163-2024")</f>
        <v/>
      </c>
      <c r="X38">
        <f>HYPERLINK("https://klasma.github.io/Logging_0604/kartor/A 13163-2024 karta.png", "A 13163-2024")</f>
        <v/>
      </c>
      <c r="Y38">
        <f>HYPERLINK("https://klasma.github.io/Logging_0604/kartor_geotiff/A 13163-2024 georefererad karta.tif", "A 13163-2024")</f>
        <v/>
      </c>
      <c r="AA38">
        <f>HYPERLINK("https://klasma.github.io/Logging_0604/klagomål/A 13163-2024 FSC-klagomål.docx", "A 13163-2024")</f>
        <v/>
      </c>
      <c r="AB38">
        <f>HYPERLINK("https://klasma.github.io/Logging_0604/klagomålsmail/A 13163-2024 FSC-klagomål mail.docx", "A 13163-2024")</f>
        <v/>
      </c>
      <c r="AC38">
        <f>HYPERLINK("https://klasma.github.io/Logging_0604/tillsyn/A 13163-2024 tillsynsbegäran.docx", "A 13163-2024")</f>
        <v/>
      </c>
      <c r="AD38">
        <f>HYPERLINK("https://klasma.github.io/Logging_0604/tillsynsmail/A 13163-2024 tillsynsbegäran mail.docx", "A 13163-2024")</f>
        <v/>
      </c>
    </row>
    <row r="39" ht="15" customHeight="1">
      <c r="A39" t="inlineStr">
        <is>
          <t>A 38338-2023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46274</v>
      </c>
      <c r="F39" t="inlineStr">
        <is>
          <t>JÖNKÖPINGS LÄN</t>
        </is>
      </c>
      <c r="G39" t="inlineStr">
        <is>
          <t>ANEBY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HYPERLINK("https://klasma.github.io/Logging_0604/artfynd/A 38338-2023 artfynd.xlsx", "A 38338-2023")</f>
        <v/>
      </c>
      <c r="X39">
        <f>HYPERLINK("https://klasma.github.io/Logging_0604/kartor/A 38338-2023 karta.png", "A 38338-2023")</f>
        <v/>
      </c>
      <c r="Y39">
        <f>HYPERLINK("https://klasma.github.io/Logging_0604/kartor_geotiff/A 38338-2023 georefererad karta.tif", "A 38338-2023")</f>
        <v/>
      </c>
      <c r="AA39">
        <f>HYPERLINK("https://klasma.github.io/Logging_0604/klagomål/A 38338-2023 FSC-klagomål.docx", "A 38338-2023")</f>
        <v/>
      </c>
      <c r="AB39">
        <f>HYPERLINK("https://klasma.github.io/Logging_0604/klagomålsmail/A 38338-2023 FSC-klagomål mail.docx", "A 38338-2023")</f>
        <v/>
      </c>
      <c r="AC39">
        <f>HYPERLINK("https://klasma.github.io/Logging_0604/tillsyn/A 38338-2023 tillsynsbegäran.docx", "A 38338-2023")</f>
        <v/>
      </c>
      <c r="AD39">
        <f>HYPERLINK("https://klasma.github.io/Logging_0604/tillsynsmail/A 38338-2023 tillsynsbegäran mail.docx", "A 38338-2023")</f>
        <v/>
      </c>
    </row>
    <row r="40" ht="15" customHeight="1">
      <c r="A40" t="inlineStr">
        <is>
          <t>A 36378-2026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46274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HYPERLINK("https://klasma.github.io/Logging_0604/artfynd/A 36378-2026 artfynd.xlsx", "A 36378-2026")</f>
        <v/>
      </c>
      <c r="X40">
        <f>HYPERLINK("https://klasma.github.io/Logging_0604/kartor/A 36378-2026 karta.png", "A 36378-2026")</f>
        <v/>
      </c>
      <c r="Y40">
        <f>HYPERLINK("https://klasma.github.io/Logging_0604/kartor_geotiff/A 36378-2026 georefererad karta.tif", "A 36378-2026")</f>
        <v/>
      </c>
      <c r="AA40">
        <f>HYPERLINK("https://klasma.github.io/Logging_0604/klagomål/A 36378-2026 FSC-klagomål.docx", "A 36378-2026")</f>
        <v/>
      </c>
      <c r="AB40">
        <f>HYPERLINK("https://klasma.github.io/Logging_0604/klagomålsmail/A 36378-2026 FSC-klagomål mail.docx", "A 36378-2026")</f>
        <v/>
      </c>
      <c r="AC40">
        <f>HYPERLINK("https://klasma.github.io/Logging_0604/tillsyn/A 36378-2026 tillsynsbegäran.docx", "A 36378-2026")</f>
        <v/>
      </c>
      <c r="AD40">
        <f>HYPERLINK("https://klasma.github.io/Logging_0604/tillsynsmail/A 36378-2026 tillsynsbegäran mail.docx", "A 36378-2026")</f>
        <v/>
      </c>
      <c r="AE40">
        <f>HYPERLINK("https://klasma.github.io/Logging_0604/fåglar/A 36378-2026 prioriterade fågelarter.docx", "A 36378-2026")</f>
        <v/>
      </c>
    </row>
    <row r="41" ht="15" customHeight="1">
      <c r="A41" t="inlineStr">
        <is>
          <t>A 53251-2023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46274</v>
      </c>
      <c r="F41" t="inlineStr">
        <is>
          <t>JÖNKÖPINGS LÄN</t>
        </is>
      </c>
      <c r="G41" t="inlineStr">
        <is>
          <t>ANEBY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HYPERLINK("https://klasma.github.io/Logging_0604/artfynd/A 53251-2023 artfynd.xlsx", "A 53251-2023")</f>
        <v/>
      </c>
      <c r="X41">
        <f>HYPERLINK("https://klasma.github.io/Logging_0604/kartor/A 53251-2023 karta.png", "A 53251-2023")</f>
        <v/>
      </c>
      <c r="Y41">
        <f>HYPERLINK("https://klasma.github.io/Logging_0604/kartor_geotiff/A 53251-2023 georefererad karta.tif", "A 53251-2023")</f>
        <v/>
      </c>
      <c r="AA41">
        <f>HYPERLINK("https://klasma.github.io/Logging_0604/klagomål/A 53251-2023 FSC-klagomål.docx", "A 53251-2023")</f>
        <v/>
      </c>
      <c r="AB41">
        <f>HYPERLINK("https://klasma.github.io/Logging_0604/klagomålsmail/A 53251-2023 FSC-klagomål mail.docx", "A 53251-2023")</f>
        <v/>
      </c>
      <c r="AC41">
        <f>HYPERLINK("https://klasma.github.io/Logging_0604/tillsyn/A 53251-2023 tillsynsbegäran.docx", "A 53251-2023")</f>
        <v/>
      </c>
      <c r="AD41">
        <f>HYPERLINK("https://klasma.github.io/Logging_0604/tillsynsmail/A 53251-2023 tillsynsbegäran mail.docx", "A 53251-2023")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46274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46274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46274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46274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46274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46274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46274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46274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46274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46274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46274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46274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46274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46274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46274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46274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46274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46274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46274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46274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46274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46274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46274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46274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46274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46274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46274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46274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46274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46274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46274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46274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46274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46274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46274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46274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46274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46274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46274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46274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46274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46274</v>
      </c>
      <c r="F85" t="inlineStr">
        <is>
          <t>JÖNKÖPINGS LÄN</t>
        </is>
      </c>
      <c r="G85" t="inlineStr">
        <is>
          <t>ANEBY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45182</v>
      </c>
      <c r="E86" s="1" t="n">
        <v>46274</v>
      </c>
      <c r="F86" t="inlineStr">
        <is>
          <t>JÖNKÖPINGS LÄN</t>
        </is>
      </c>
      <c r="G86" t="inlineStr">
        <is>
          <t>ANEBY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46274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46274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46274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46274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46274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45122</v>
      </c>
      <c r="E92" s="1" t="n">
        <v>46274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46274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46274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46274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46274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49427-2023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45205</v>
      </c>
      <c r="E97" s="1" t="n">
        <v>46274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46274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46274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45653</v>
      </c>
      <c r="E100" s="1" t="n">
        <v>46274</v>
      </c>
      <c r="F100" t="inlineStr">
        <is>
          <t>JÖNKÖPINGS LÄN</t>
        </is>
      </c>
      <c r="G100" t="inlineStr">
        <is>
          <t>ANEBY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46274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45300</v>
      </c>
      <c r="E102" s="1" t="n">
        <v>46274</v>
      </c>
      <c r="F102" t="inlineStr">
        <is>
          <t>JÖNKÖPINGS LÄN</t>
        </is>
      </c>
      <c r="G102" t="inlineStr">
        <is>
          <t>ANEBY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46274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46274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46274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46274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46274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46274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46274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27714-2024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45475</v>
      </c>
      <c r="E110" s="1" t="n">
        <v>46274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49133-2022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44860</v>
      </c>
      <c r="E111" s="1" t="n">
        <v>46274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46274</v>
      </c>
      <c r="F112" t="inlineStr">
        <is>
          <t>JÖNKÖPINGS LÄN</t>
        </is>
      </c>
      <c r="G112" t="inlineStr">
        <is>
          <t>ANEBY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46274</v>
      </c>
      <c r="F113" t="inlineStr">
        <is>
          <t>JÖNKÖPINGS LÄN</t>
        </is>
      </c>
      <c r="G113" t="inlineStr">
        <is>
          <t>ANEBY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46274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46274</v>
      </c>
      <c r="F115" t="inlineStr">
        <is>
          <t>JÖNKÖPINGS LÄN</t>
        </is>
      </c>
      <c r="G115" t="inlineStr">
        <is>
          <t>ANEBY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45020</v>
      </c>
      <c r="E116" s="1" t="n">
        <v>46274</v>
      </c>
      <c r="F116" t="inlineStr">
        <is>
          <t>JÖNKÖPINGS LÄN</t>
        </is>
      </c>
      <c r="G116" t="inlineStr">
        <is>
          <t>ANEBY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45330</v>
      </c>
      <c r="E117" s="1" t="n">
        <v>46274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45304</v>
      </c>
      <c r="E118" s="1" t="n">
        <v>46274</v>
      </c>
      <c r="F118" t="inlineStr">
        <is>
          <t>JÖNKÖPINGS LÄN</t>
        </is>
      </c>
      <c r="G118" t="inlineStr">
        <is>
          <t>ANEBY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46274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46274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46274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46274</v>
      </c>
      <c r="F122" t="inlineStr">
        <is>
          <t>JÖNKÖPINGS LÄN</t>
        </is>
      </c>
      <c r="G122" t="inlineStr">
        <is>
          <t>ANEBY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57170-2021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46274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35773-2023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45148</v>
      </c>
      <c r="E124" s="1" t="n">
        <v>46274</v>
      </c>
      <c r="F124" t="inlineStr">
        <is>
          <t>JÖNKÖPINGS LÄN</t>
        </is>
      </c>
      <c r="G124" t="inlineStr">
        <is>
          <t>ANEBY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44481</v>
      </c>
      <c r="E125" s="1" t="n">
        <v>46274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46274</v>
      </c>
      <c r="F126" t="inlineStr">
        <is>
          <t>JÖNKÖPINGS LÄN</t>
        </is>
      </c>
      <c r="G126" t="inlineStr">
        <is>
          <t>ANEBY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46274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46274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46274</v>
      </c>
      <c r="F129" t="inlineStr">
        <is>
          <t>JÖNKÖPINGS LÄN</t>
        </is>
      </c>
      <c r="G129" t="inlineStr">
        <is>
          <t>ANEBY</t>
        </is>
      </c>
      <c r="I129" t="n">
        <v>10.1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46274</v>
      </c>
      <c r="F130" t="inlineStr">
        <is>
          <t>JÖNKÖPINGS LÄN</t>
        </is>
      </c>
      <c r="G130" t="inlineStr">
        <is>
          <t>ANEBY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45749</v>
      </c>
      <c r="E131" s="1" t="n">
        <v>46274</v>
      </c>
      <c r="F131" t="inlineStr">
        <is>
          <t>JÖNKÖPINGS LÄN</t>
        </is>
      </c>
      <c r="G131" t="inlineStr">
        <is>
          <t>ANEBY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45840</v>
      </c>
      <c r="E132" s="1" t="n">
        <v>46274</v>
      </c>
      <c r="F132" t="inlineStr">
        <is>
          <t>JÖNKÖPINGS LÄN</t>
        </is>
      </c>
      <c r="G132" t="inlineStr">
        <is>
          <t>ANEBY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45691</v>
      </c>
      <c r="E133" s="1" t="n">
        <v>46274</v>
      </c>
      <c r="F133" t="inlineStr">
        <is>
          <t>JÖNKÖPINGS LÄN</t>
        </is>
      </c>
      <c r="G133" t="inlineStr">
        <is>
          <t>ANEBY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46274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46274</v>
      </c>
      <c r="F135" t="inlineStr">
        <is>
          <t>JÖNKÖPINGS LÄN</t>
        </is>
      </c>
      <c r="G135" t="inlineStr">
        <is>
          <t>ANEBY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46274</v>
      </c>
      <c r="F136" t="inlineStr">
        <is>
          <t>JÖNKÖPINGS LÄN</t>
        </is>
      </c>
      <c r="G136" t="inlineStr">
        <is>
          <t>ANEBY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46274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46274</v>
      </c>
      <c r="F138" t="inlineStr">
        <is>
          <t>JÖNKÖPINGS LÄN</t>
        </is>
      </c>
      <c r="G138" t="inlineStr">
        <is>
          <t>ANEBY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46274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46274</v>
      </c>
      <c r="F140" t="inlineStr">
        <is>
          <t>JÖNKÖPINGS LÄN</t>
        </is>
      </c>
      <c r="G140" t="inlineStr">
        <is>
          <t>ANEBY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46274</v>
      </c>
      <c r="F141" t="inlineStr">
        <is>
          <t>JÖNKÖPINGS LÄN</t>
        </is>
      </c>
      <c r="G141" t="inlineStr">
        <is>
          <t>ANEBY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45552</v>
      </c>
      <c r="E142" s="1" t="n">
        <v>46274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43528-2025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45911</v>
      </c>
      <c r="E143" s="1" t="n">
        <v>46274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46274</v>
      </c>
      <c r="F144" t="inlineStr">
        <is>
          <t>JÖNKÖPINGS LÄN</t>
        </is>
      </c>
      <c r="G144" t="inlineStr">
        <is>
          <t>ANEBY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46274</v>
      </c>
      <c r="F145" t="inlineStr">
        <is>
          <t>JÖNKÖPINGS LÄN</t>
        </is>
      </c>
      <c r="G145" t="inlineStr">
        <is>
          <t>ANEBY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46274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46274</v>
      </c>
      <c r="F147" t="inlineStr">
        <is>
          <t>JÖNKÖPINGS LÄN</t>
        </is>
      </c>
      <c r="G147" t="inlineStr">
        <is>
          <t>ANEBY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46274</v>
      </c>
      <c r="F148" t="inlineStr">
        <is>
          <t>JÖNKÖPINGS LÄN</t>
        </is>
      </c>
      <c r="G148" t="inlineStr">
        <is>
          <t>ANEBY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21356-2026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46147</v>
      </c>
      <c r="E149" s="1" t="n">
        <v>46274</v>
      </c>
      <c r="F149" t="inlineStr">
        <is>
          <t>JÖNKÖPINGS LÄN</t>
        </is>
      </c>
      <c r="G149" t="inlineStr">
        <is>
          <t>ANEBY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48728-2025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46274</v>
      </c>
      <c r="F150" t="inlineStr">
        <is>
          <t>JÖNKÖPINGS LÄN</t>
        </is>
      </c>
      <c r="G150" t="inlineStr">
        <is>
          <t>ANEBY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44051-2024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46274</v>
      </c>
      <c r="F151" t="inlineStr">
        <is>
          <t>JÖNKÖPINGS LÄN</t>
        </is>
      </c>
      <c r="G151" t="inlineStr">
        <is>
          <t>ANEBY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44477</v>
      </c>
      <c r="E152" s="1" t="n">
        <v>46274</v>
      </c>
      <c r="F152" t="inlineStr">
        <is>
          <t>JÖNKÖPINGS LÄN</t>
        </is>
      </c>
      <c r="G152" t="inlineStr">
        <is>
          <t>ANEBY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46274</v>
      </c>
      <c r="F153" t="inlineStr">
        <is>
          <t>JÖNKÖPINGS LÄN</t>
        </is>
      </c>
      <c r="G153" t="inlineStr">
        <is>
          <t>ANEBY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46274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46274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46274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44606</v>
      </c>
      <c r="E157" s="1" t="n">
        <v>46274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45393</v>
      </c>
      <c r="E158" s="1" t="n">
        <v>46274</v>
      </c>
      <c r="F158" t="inlineStr">
        <is>
          <t>JÖNKÖPINGS LÄN</t>
        </is>
      </c>
      <c r="G158" t="inlineStr">
        <is>
          <t>ANEBY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46274</v>
      </c>
      <c r="F159" t="inlineStr">
        <is>
          <t>JÖNKÖPINGS LÄN</t>
        </is>
      </c>
      <c r="G159" t="inlineStr">
        <is>
          <t>ANEBY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46274</v>
      </c>
      <c r="F160" t="inlineStr">
        <is>
          <t>JÖNKÖPINGS LÄN</t>
        </is>
      </c>
      <c r="G160" t="inlineStr">
        <is>
          <t>ANEBY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46274</v>
      </c>
      <c r="F161" t="inlineStr">
        <is>
          <t>JÖNKÖPINGS LÄN</t>
        </is>
      </c>
      <c r="G161" t="inlineStr">
        <is>
          <t>ANEBY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46274</v>
      </c>
      <c r="F162" t="inlineStr">
        <is>
          <t>JÖNKÖPINGS LÄN</t>
        </is>
      </c>
      <c r="G162" t="inlineStr">
        <is>
          <t>ANEBY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44985</v>
      </c>
      <c r="E163" s="1" t="n">
        <v>46274</v>
      </c>
      <c r="F163" t="inlineStr">
        <is>
          <t>JÖNKÖPINGS LÄN</t>
        </is>
      </c>
      <c r="G163" t="inlineStr">
        <is>
          <t>ANEBY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46274</v>
      </c>
      <c r="F164" t="inlineStr">
        <is>
          <t>JÖNKÖPINGS LÄN</t>
        </is>
      </c>
      <c r="G164" t="inlineStr">
        <is>
          <t>ANEBY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46274</v>
      </c>
      <c r="F165" t="inlineStr">
        <is>
          <t>JÖNKÖPINGS LÄN</t>
        </is>
      </c>
      <c r="G165" t="inlineStr">
        <is>
          <t>ANEBY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46274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46274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44705</v>
      </c>
      <c r="E168" s="1" t="n">
        <v>46274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46274</v>
      </c>
      <c r="F169" t="inlineStr">
        <is>
          <t>JÖNKÖPINGS LÄN</t>
        </is>
      </c>
      <c r="G169" t="inlineStr">
        <is>
          <t>ANEBY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46170</v>
      </c>
      <c r="E170" s="1" t="n">
        <v>46274</v>
      </c>
      <c r="F170" t="inlineStr">
        <is>
          <t>JÖNKÖPINGS LÄN</t>
        </is>
      </c>
      <c r="G170" t="inlineStr">
        <is>
          <t>ANEBY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45978</v>
      </c>
      <c r="E171" s="1" t="n">
        <v>46274</v>
      </c>
      <c r="F171" t="inlineStr">
        <is>
          <t>JÖNKÖPINGS LÄN</t>
        </is>
      </c>
      <c r="G171" t="inlineStr">
        <is>
          <t>ANEBY</t>
        </is>
      </c>
      <c r="H171" t="inlineStr">
        <is>
          <t>Övriga Aktiebolag</t>
        </is>
      </c>
      <c r="I171" t="n">
        <v>19.6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46274</v>
      </c>
      <c r="F172" t="inlineStr">
        <is>
          <t>JÖNKÖPINGS LÄN</t>
        </is>
      </c>
      <c r="G172" t="inlineStr">
        <is>
          <t>ANEBY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46274</v>
      </c>
      <c r="F173" t="inlineStr">
        <is>
          <t>JÖNKÖPINGS LÄN</t>
        </is>
      </c>
      <c r="G173" t="inlineStr">
        <is>
          <t>ANEBY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46274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46274</v>
      </c>
      <c r="F175" t="inlineStr">
        <is>
          <t>JÖNKÖPINGS LÄN</t>
        </is>
      </c>
      <c r="G175" t="inlineStr">
        <is>
          <t>ANEBY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45982</v>
      </c>
      <c r="E176" s="1" t="n">
        <v>46274</v>
      </c>
      <c r="F176" t="inlineStr">
        <is>
          <t>JÖNKÖPINGS LÄN</t>
        </is>
      </c>
      <c r="G176" t="inlineStr">
        <is>
          <t>ANEBY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45537</v>
      </c>
      <c r="E177" s="1" t="n">
        <v>46274</v>
      </c>
      <c r="F177" t="inlineStr">
        <is>
          <t>JÖNKÖPINGS LÄN</t>
        </is>
      </c>
      <c r="G177" t="inlineStr">
        <is>
          <t>ANEBY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46274</v>
      </c>
      <c r="F178" t="inlineStr">
        <is>
          <t>JÖNKÖPINGS LÄN</t>
        </is>
      </c>
      <c r="G178" t="inlineStr">
        <is>
          <t>ANEBY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46274</v>
      </c>
      <c r="F179" t="inlineStr">
        <is>
          <t>JÖNKÖPINGS LÄN</t>
        </is>
      </c>
      <c r="G179" t="inlineStr">
        <is>
          <t>ANEBY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45097</v>
      </c>
      <c r="E180" s="1" t="n">
        <v>46274</v>
      </c>
      <c r="F180" t="inlineStr">
        <is>
          <t>JÖNKÖPINGS LÄN</t>
        </is>
      </c>
      <c r="G180" t="inlineStr">
        <is>
          <t>ANEBY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46274</v>
      </c>
      <c r="F181" t="inlineStr">
        <is>
          <t>JÖNKÖPINGS LÄN</t>
        </is>
      </c>
      <c r="G181" t="inlineStr">
        <is>
          <t>ANEBY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45379</v>
      </c>
      <c r="E182" s="1" t="n">
        <v>46274</v>
      </c>
      <c r="F182" t="inlineStr">
        <is>
          <t>JÖNKÖPINGS LÄN</t>
        </is>
      </c>
      <c r="G182" t="inlineStr">
        <is>
          <t>ANEBY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46274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46274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26769-2022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46274</v>
      </c>
      <c r="F185" t="inlineStr">
        <is>
          <t>JÖNKÖPINGS LÄN</t>
        </is>
      </c>
      <c r="G185" t="inlineStr">
        <is>
          <t>ANEBY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46274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46274</v>
      </c>
      <c r="F187" t="inlineStr">
        <is>
          <t>JÖNKÖPINGS LÄN</t>
        </is>
      </c>
      <c r="G187" t="inlineStr">
        <is>
          <t>ANEBY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46274</v>
      </c>
      <c r="F188" t="inlineStr">
        <is>
          <t>JÖNKÖPINGS LÄN</t>
        </is>
      </c>
      <c r="G188" t="inlineStr">
        <is>
          <t>ANEBY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46274</v>
      </c>
      <c r="F189" t="inlineStr">
        <is>
          <t>JÖNKÖPINGS LÄN</t>
        </is>
      </c>
      <c r="G189" t="inlineStr">
        <is>
          <t>ANEBY</t>
        </is>
      </c>
      <c r="H189" t="inlineStr">
        <is>
          <t>Övriga Aktiebolag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46274</v>
      </c>
      <c r="F190" t="inlineStr">
        <is>
          <t>JÖNKÖPINGS LÄN</t>
        </is>
      </c>
      <c r="G190" t="inlineStr">
        <is>
          <t>ANEBY</t>
        </is>
      </c>
      <c r="H190" t="inlineStr">
        <is>
          <t>Övriga Aktiebolag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46185</v>
      </c>
      <c r="E191" s="1" t="n">
        <v>46274</v>
      </c>
      <c r="F191" t="inlineStr">
        <is>
          <t>JÖNKÖPINGS LÄN</t>
        </is>
      </c>
      <c r="G191" t="inlineStr">
        <is>
          <t>ANEBY</t>
        </is>
      </c>
      <c r="H191" t="inlineStr">
        <is>
          <t>Övriga Aktiebolag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46274</v>
      </c>
      <c r="F192" t="inlineStr">
        <is>
          <t>JÖNKÖPINGS LÄN</t>
        </is>
      </c>
      <c r="G192" t="inlineStr">
        <is>
          <t>ANEBY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46274</v>
      </c>
      <c r="F193" t="inlineStr">
        <is>
          <t>JÖNKÖPINGS LÄN</t>
        </is>
      </c>
      <c r="G193" t="inlineStr">
        <is>
          <t>ANEBY</t>
        </is>
      </c>
      <c r="I193" t="n">
        <v>17.9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46274</v>
      </c>
      <c r="F194" t="inlineStr">
        <is>
          <t>JÖNKÖPINGS LÄN</t>
        </is>
      </c>
      <c r="G194" t="inlineStr">
        <is>
          <t>ANEBY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46274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46274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46274</v>
      </c>
      <c r="F197" t="inlineStr">
        <is>
          <t>JÖNKÖPINGS LÄN</t>
        </is>
      </c>
      <c r="G197" t="inlineStr">
        <is>
          <t>ANEBY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46020</v>
      </c>
      <c r="E198" s="1" t="n">
        <v>46274</v>
      </c>
      <c r="F198" t="inlineStr">
        <is>
          <t>JÖNKÖPINGS LÄN</t>
        </is>
      </c>
      <c r="G198" t="inlineStr">
        <is>
          <t>ANEBY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46274</v>
      </c>
      <c r="F199" t="inlineStr">
        <is>
          <t>JÖNKÖPINGS LÄN</t>
        </is>
      </c>
      <c r="G199" t="inlineStr">
        <is>
          <t>ANEBY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45357</v>
      </c>
      <c r="E200" s="1" t="n">
        <v>46274</v>
      </c>
      <c r="F200" t="inlineStr">
        <is>
          <t>JÖNKÖPINGS LÄN</t>
        </is>
      </c>
      <c r="G200" t="inlineStr">
        <is>
          <t>ANEBY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46274</v>
      </c>
      <c r="F201" t="inlineStr">
        <is>
          <t>JÖNKÖPINGS LÄN</t>
        </is>
      </c>
      <c r="G201" t="inlineStr">
        <is>
          <t>ANEBY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46274</v>
      </c>
      <c r="F202" t="inlineStr">
        <is>
          <t>JÖNKÖPINGS LÄN</t>
        </is>
      </c>
      <c r="G202" t="inlineStr">
        <is>
          <t>ANEBY</t>
        </is>
      </c>
      <c r="H202" t="inlineStr">
        <is>
          <t>Kyrkan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46274</v>
      </c>
      <c r="F203" t="inlineStr">
        <is>
          <t>JÖNKÖPINGS LÄN</t>
        </is>
      </c>
      <c r="G203" t="inlineStr">
        <is>
          <t>ANEBY</t>
        </is>
      </c>
      <c r="H203" t="inlineStr">
        <is>
          <t>Kyrkan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46274</v>
      </c>
      <c r="F204" t="inlineStr">
        <is>
          <t>JÖNKÖPINGS LÄN</t>
        </is>
      </c>
      <c r="G204" t="inlineStr">
        <is>
          <t>ANEBY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46274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45645</v>
      </c>
      <c r="E206" s="1" t="n">
        <v>46274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46274</v>
      </c>
      <c r="F207" t="inlineStr">
        <is>
          <t>JÖNKÖPINGS LÄN</t>
        </is>
      </c>
      <c r="G207" t="inlineStr">
        <is>
          <t>ANEBY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46274</v>
      </c>
      <c r="F208" t="inlineStr">
        <is>
          <t>JÖNKÖPINGS LÄN</t>
        </is>
      </c>
      <c r="G208" t="inlineStr">
        <is>
          <t>ANEBY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46274</v>
      </c>
      <c r="F209" t="inlineStr">
        <is>
          <t>JÖNKÖPINGS LÄN</t>
        </is>
      </c>
      <c r="G209" t="inlineStr">
        <is>
          <t>ANEBY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46274</v>
      </c>
      <c r="F210" t="inlineStr">
        <is>
          <t>JÖNKÖPINGS LÄN</t>
        </is>
      </c>
      <c r="G210" t="inlineStr">
        <is>
          <t>ANEBY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46274</v>
      </c>
      <c r="F211" t="inlineStr">
        <is>
          <t>JÖNKÖPINGS LÄN</t>
        </is>
      </c>
      <c r="G211" t="inlineStr">
        <is>
          <t>ANEBY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73166-2021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46274</v>
      </c>
      <c r="F212" t="inlineStr">
        <is>
          <t>JÖNKÖPINGS LÄN</t>
        </is>
      </c>
      <c r="G212" t="inlineStr">
        <is>
          <t>ANEBY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44623</v>
      </c>
      <c r="E213" s="1" t="n">
        <v>46274</v>
      </c>
      <c r="F213" t="inlineStr">
        <is>
          <t>JÖNKÖPINGS LÄN</t>
        </is>
      </c>
      <c r="G213" t="inlineStr">
        <is>
          <t>ANEBY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23349-2023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45076</v>
      </c>
      <c r="E214" s="1" t="n">
        <v>46274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46274</v>
      </c>
      <c r="F215" t="inlineStr">
        <is>
          <t>JÖNKÖPINGS LÄN</t>
        </is>
      </c>
      <c r="G215" t="inlineStr">
        <is>
          <t>ANEBY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46274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46274</v>
      </c>
      <c r="F217" t="inlineStr">
        <is>
          <t>JÖNKÖPINGS LÄN</t>
        </is>
      </c>
      <c r="G217" t="inlineStr">
        <is>
          <t>ANEBY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46274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  <c r="Z218">
        <f>HYPERLINK("https://klasma.github.io/Logging_0604/knärot/A 25963-2024 karta knärot.png", "A 25963-2024")</f>
        <v/>
      </c>
      <c r="AA218">
        <f>HYPERLINK("https://klasma.github.io/Logging_0604/klagomål/A 25963-2024 FSC-klagomål.docx", "A 25963-2024")</f>
        <v/>
      </c>
      <c r="AB218">
        <f>HYPERLINK("https://klasma.github.io/Logging_0604/klagomålsmail/A 25963-2024 FSC-klagomål mail.docx", "A 25963-2024")</f>
        <v/>
      </c>
      <c r="AC218">
        <f>HYPERLINK("https://klasma.github.io/Logging_0604/tillsyn/A 25963-2024 tillsynsbegäran.docx", "A 25963-2024")</f>
        <v/>
      </c>
      <c r="AD218">
        <f>HYPERLINK("https://klasma.github.io/Logging_0604/tillsynsmail/A 25963-2024 tillsynsbegäran mail.docx", "A 25963-2024")</f>
        <v/>
      </c>
    </row>
    <row r="219" ht="15" customHeight="1">
      <c r="A219" t="inlineStr">
        <is>
          <t>A 21812-2023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46274</v>
      </c>
      <c r="F219" t="inlineStr">
        <is>
          <t>JÖNKÖPINGS LÄN</t>
        </is>
      </c>
      <c r="G219" t="inlineStr">
        <is>
          <t>ANEBY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21026-2024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45439</v>
      </c>
      <c r="E220" s="1" t="n">
        <v>46274</v>
      </c>
      <c r="F220" t="inlineStr">
        <is>
          <t>JÖNKÖPINGS LÄN</t>
        </is>
      </c>
      <c r="G220" t="inlineStr">
        <is>
          <t>ANEBY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46274</v>
      </c>
      <c r="F221" t="inlineStr">
        <is>
          <t>JÖNKÖPINGS LÄN</t>
        </is>
      </c>
      <c r="G221" t="inlineStr">
        <is>
          <t>ANEBY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6827-2026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46057</v>
      </c>
      <c r="E222" s="1" t="n">
        <v>46274</v>
      </c>
      <c r="F222" t="inlineStr">
        <is>
          <t>JÖNKÖPINGS LÄN</t>
        </is>
      </c>
      <c r="G222" t="inlineStr">
        <is>
          <t>ANEBY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46274</v>
      </c>
      <c r="F223" t="inlineStr">
        <is>
          <t>JÖNKÖPINGS LÄN</t>
        </is>
      </c>
      <c r="G223" t="inlineStr">
        <is>
          <t>ANEBY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46274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14235-2023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46274</v>
      </c>
      <c r="F225" t="inlineStr">
        <is>
          <t>JÖNKÖPINGS LÄN</t>
        </is>
      </c>
      <c r="G225" t="inlineStr">
        <is>
          <t>ANEBY</t>
        </is>
      </c>
      <c r="I225" t="n">
        <v>13.8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46274</v>
      </c>
      <c r="F226" t="inlineStr">
        <is>
          <t>JÖNKÖPINGS LÄN</t>
        </is>
      </c>
      <c r="G226" t="inlineStr">
        <is>
          <t>ANEBY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46274</v>
      </c>
      <c r="F227" t="inlineStr">
        <is>
          <t>JÖNKÖPINGS LÄN</t>
        </is>
      </c>
      <c r="G227" t="inlineStr">
        <is>
          <t>ANEBY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46058</v>
      </c>
      <c r="E228" s="1" t="n">
        <v>46274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7514-2026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46274</v>
      </c>
      <c r="F229" t="inlineStr">
        <is>
          <t>JÖNKÖPINGS LÄN</t>
        </is>
      </c>
      <c r="G229" t="inlineStr">
        <is>
          <t>ANEBY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46274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46274</v>
      </c>
      <c r="F231" t="inlineStr">
        <is>
          <t>JÖNKÖPINGS LÄN</t>
        </is>
      </c>
      <c r="G231" t="inlineStr">
        <is>
          <t>ANEBY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46274</v>
      </c>
      <c r="F232" t="inlineStr">
        <is>
          <t>JÖNKÖPINGS LÄN</t>
        </is>
      </c>
      <c r="G232" t="inlineStr">
        <is>
          <t>ANEBY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46274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34379-2026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46254</v>
      </c>
      <c r="E234" s="1" t="n">
        <v>46274</v>
      </c>
      <c r="F234" t="inlineStr">
        <is>
          <t>JÖNKÖPINGS LÄN</t>
        </is>
      </c>
      <c r="G234" t="inlineStr">
        <is>
          <t>ANEBY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46274</v>
      </c>
      <c r="F235" t="inlineStr">
        <is>
          <t>JÖNKÖPINGS LÄN</t>
        </is>
      </c>
      <c r="G235" t="inlineStr">
        <is>
          <t>ANEBY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46254</v>
      </c>
      <c r="E236" s="1" t="n">
        <v>46274</v>
      </c>
      <c r="F236" t="inlineStr">
        <is>
          <t>JÖNKÖPINGS LÄN</t>
        </is>
      </c>
      <c r="G236" t="inlineStr">
        <is>
          <t>ANEBY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46274</v>
      </c>
      <c r="F237" t="inlineStr">
        <is>
          <t>JÖNKÖPINGS LÄN</t>
        </is>
      </c>
      <c r="G237" t="inlineStr">
        <is>
          <t>ANEBY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46214</v>
      </c>
      <c r="E238" s="1" t="n">
        <v>46274</v>
      </c>
      <c r="F238" t="inlineStr">
        <is>
          <t>JÖNKÖPINGS LÄN</t>
        </is>
      </c>
      <c r="G238" t="inlineStr">
        <is>
          <t>ANEBY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46214</v>
      </c>
      <c r="E239" s="1" t="n">
        <v>46274</v>
      </c>
      <c r="F239" t="inlineStr">
        <is>
          <t>JÖNKÖPINGS LÄN</t>
        </is>
      </c>
      <c r="G239" t="inlineStr">
        <is>
          <t>ANEBY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46214</v>
      </c>
      <c r="E240" s="1" t="n">
        <v>46274</v>
      </c>
      <c r="F240" t="inlineStr">
        <is>
          <t>JÖNKÖPINGS LÄN</t>
        </is>
      </c>
      <c r="G240" t="inlineStr">
        <is>
          <t>ANEBY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46274</v>
      </c>
      <c r="F241" t="inlineStr">
        <is>
          <t>JÖNKÖPINGS LÄN</t>
        </is>
      </c>
      <c r="G241" t="inlineStr">
        <is>
          <t>ANEBY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52790-2024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45610</v>
      </c>
      <c r="E242" s="1" t="n">
        <v>46274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34850-2026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46255</v>
      </c>
      <c r="E243" s="1" t="n">
        <v>46274</v>
      </c>
      <c r="F243" t="inlineStr">
        <is>
          <t>JÖNKÖPINGS LÄN</t>
        </is>
      </c>
      <c r="G243" t="inlineStr">
        <is>
          <t>ANEBY</t>
        </is>
      </c>
      <c r="H243" t="inlineStr">
        <is>
          <t>Övriga Aktiebolag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46274</v>
      </c>
      <c r="F244" t="inlineStr">
        <is>
          <t>JÖNKÖPINGS LÄN</t>
        </is>
      </c>
      <c r="G244" t="inlineStr">
        <is>
          <t>ANEBY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46274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18.6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23557-2022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44721</v>
      </c>
      <c r="E246" s="1" t="n">
        <v>46274</v>
      </c>
      <c r="F246" t="inlineStr">
        <is>
          <t>JÖNKÖPINGS LÄN</t>
        </is>
      </c>
      <c r="G246" t="inlineStr">
        <is>
          <t>ANEBY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46274</v>
      </c>
      <c r="F247" t="inlineStr">
        <is>
          <t>JÖNKÖPINGS LÄN</t>
        </is>
      </c>
      <c r="G247" t="inlineStr">
        <is>
          <t>ANEBY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54213-2024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45616</v>
      </c>
      <c r="E248" s="1" t="n">
        <v>46274</v>
      </c>
      <c r="F248" t="inlineStr">
        <is>
          <t>JÖNKÖPINGS LÄN</t>
        </is>
      </c>
      <c r="G248" t="inlineStr">
        <is>
          <t>ANEBY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46093</v>
      </c>
      <c r="E249" s="1" t="n">
        <v>46274</v>
      </c>
      <c r="F249" t="inlineStr">
        <is>
          <t>JÖNKÖPINGS LÄN</t>
        </is>
      </c>
      <c r="G249" t="inlineStr">
        <is>
          <t>ANEBY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46265</v>
      </c>
      <c r="E250" s="1" t="n">
        <v>46274</v>
      </c>
      <c r="F250" t="inlineStr">
        <is>
          <t>JÖNKÖPINGS LÄN</t>
        </is>
      </c>
      <c r="G250" t="inlineStr">
        <is>
          <t>ANEBY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46274</v>
      </c>
      <c r="F251" t="inlineStr">
        <is>
          <t>JÖNKÖPINGS LÄN</t>
        </is>
      </c>
      <c r="G251" t="inlineStr">
        <is>
          <t>ANEBY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46274</v>
      </c>
      <c r="F252" t="inlineStr">
        <is>
          <t>JÖNKÖPINGS LÄN</t>
        </is>
      </c>
      <c r="G252" t="inlineStr">
        <is>
          <t>ANEBY</t>
        </is>
      </c>
      <c r="H252" t="inlineStr">
        <is>
          <t>Övriga Aktiebolag</t>
        </is>
      </c>
      <c r="I252" t="n">
        <v>20.7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46265</v>
      </c>
      <c r="E253" s="1" t="n">
        <v>46274</v>
      </c>
      <c r="F253" t="inlineStr">
        <is>
          <t>JÖNKÖPINGS LÄN</t>
        </is>
      </c>
      <c r="G253" t="inlineStr">
        <is>
          <t>ANEBY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45539</v>
      </c>
      <c r="E254" s="1" t="n">
        <v>46274</v>
      </c>
      <c r="F254" t="inlineStr">
        <is>
          <t>JÖNKÖPINGS LÄN</t>
        </is>
      </c>
      <c r="G254" t="inlineStr">
        <is>
          <t>ANEBY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46274</v>
      </c>
      <c r="F255" t="inlineStr">
        <is>
          <t>JÖNKÖPINGS LÄN</t>
        </is>
      </c>
      <c r="G255" t="inlineStr">
        <is>
          <t>ANEBY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46274</v>
      </c>
      <c r="F256" t="inlineStr">
        <is>
          <t>JÖNKÖPINGS LÄN</t>
        </is>
      </c>
      <c r="G256" t="inlineStr">
        <is>
          <t>ANEBY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46267</v>
      </c>
      <c r="E257" s="1" t="n">
        <v>46274</v>
      </c>
      <c r="F257" t="inlineStr">
        <is>
          <t>JÖNKÖPINGS LÄN</t>
        </is>
      </c>
      <c r="G257" t="inlineStr">
        <is>
          <t>ANEBY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46224</v>
      </c>
      <c r="E258" s="1" t="n">
        <v>46274</v>
      </c>
      <c r="F258" t="inlineStr">
        <is>
          <t>JÖNKÖPINGS LÄN</t>
        </is>
      </c>
      <c r="G258" t="inlineStr">
        <is>
          <t>ANEBY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45772</v>
      </c>
      <c r="E259" s="1" t="n">
        <v>46274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46274</v>
      </c>
      <c r="F260" t="inlineStr">
        <is>
          <t>JÖNKÖPINGS LÄN</t>
        </is>
      </c>
      <c r="G260" t="inlineStr">
        <is>
          <t>ANEBY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46274</v>
      </c>
      <c r="F261" t="inlineStr">
        <is>
          <t>JÖNKÖPINGS LÄN</t>
        </is>
      </c>
      <c r="G261" t="inlineStr">
        <is>
          <t>ANEBY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15187-2026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46274</v>
      </c>
      <c r="F262" t="inlineStr">
        <is>
          <t>JÖNKÖPINGS LÄN</t>
        </is>
      </c>
      <c r="G262" t="inlineStr">
        <is>
          <t>ANEBY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46274</v>
      </c>
      <c r="F263" t="inlineStr">
        <is>
          <t>JÖNKÖPINGS LÄN</t>
        </is>
      </c>
      <c r="G263" t="inlineStr">
        <is>
          <t>ANEBY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46274</v>
      </c>
      <c r="F264" t="inlineStr">
        <is>
          <t>JÖNKÖPINGS LÄN</t>
        </is>
      </c>
      <c r="G264" t="inlineStr">
        <is>
          <t>ANEBY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46273</v>
      </c>
      <c r="E265" s="1" t="n">
        <v>46274</v>
      </c>
      <c r="F265" t="inlineStr">
        <is>
          <t>JÖNKÖPINGS LÄN</t>
        </is>
      </c>
      <c r="G265" t="inlineStr">
        <is>
          <t>ANEBY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43613-2023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45184</v>
      </c>
      <c r="E266" s="1" t="n">
        <v>46274</v>
      </c>
      <c r="F266" t="inlineStr">
        <is>
          <t>JÖNKÖPINGS LÄN</t>
        </is>
      </c>
      <c r="G266" t="inlineStr">
        <is>
          <t>ANEBY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12477-2023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44999</v>
      </c>
      <c r="E267" s="1" t="n">
        <v>46274</v>
      </c>
      <c r="F267" t="inlineStr">
        <is>
          <t>JÖNKÖPINGS LÄN</t>
        </is>
      </c>
      <c r="G267" t="inlineStr">
        <is>
          <t>ANEBY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45084</v>
      </c>
      <c r="E268" s="1" t="n">
        <v>46274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46273</v>
      </c>
      <c r="E269" s="1" t="n">
        <v>46274</v>
      </c>
      <c r="F269" t="inlineStr">
        <is>
          <t>JÖNKÖPINGS LÄN</t>
        </is>
      </c>
      <c r="G269" t="inlineStr">
        <is>
          <t>ANEBY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46274</v>
      </c>
      <c r="F270" t="inlineStr">
        <is>
          <t>JÖNKÖPINGS LÄN</t>
        </is>
      </c>
      <c r="G270" t="inlineStr">
        <is>
          <t>ANEBY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46274</v>
      </c>
      <c r="F271" t="inlineStr">
        <is>
          <t>JÖNKÖPINGS LÄN</t>
        </is>
      </c>
      <c r="G271" t="inlineStr">
        <is>
          <t>ANEBY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46274</v>
      </c>
      <c r="F272" t="inlineStr">
        <is>
          <t>JÖNKÖPINGS LÄN</t>
        </is>
      </c>
      <c r="G272" t="inlineStr">
        <is>
          <t>ANEBY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46274</v>
      </c>
      <c r="F273" t="inlineStr">
        <is>
          <t>JÖNKÖPINGS LÄN</t>
        </is>
      </c>
      <c r="G273" t="inlineStr">
        <is>
          <t>ANEBY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44957</v>
      </c>
      <c r="E274" s="1" t="n">
        <v>46274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46274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45343</v>
      </c>
      <c r="E276" s="1" t="n">
        <v>46274</v>
      </c>
      <c r="F276" t="inlineStr">
        <is>
          <t>JÖNKÖPINGS LÄN</t>
        </is>
      </c>
      <c r="G276" t="inlineStr">
        <is>
          <t>ANEBY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45304</v>
      </c>
      <c r="E277" s="1" t="n">
        <v>46274</v>
      </c>
      <c r="F277" t="inlineStr">
        <is>
          <t>JÖNKÖPINGS LÄN</t>
        </is>
      </c>
      <c r="G277" t="inlineStr">
        <is>
          <t>ANEBY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44578</v>
      </c>
      <c r="E278" s="1" t="n">
        <v>46274</v>
      </c>
      <c r="F278" t="inlineStr">
        <is>
          <t>JÖNKÖPINGS LÄN</t>
        </is>
      </c>
      <c r="G278" t="inlineStr">
        <is>
          <t>ANEBY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45468</v>
      </c>
      <c r="E279" s="1" t="n">
        <v>46274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48524-2024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45593</v>
      </c>
      <c r="E280" s="1" t="n">
        <v>46274</v>
      </c>
      <c r="F280" t="inlineStr">
        <is>
          <t>JÖNKÖPINGS LÄN</t>
        </is>
      </c>
      <c r="G280" t="inlineStr">
        <is>
          <t>ANEBY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46274</v>
      </c>
      <c r="F281" t="inlineStr">
        <is>
          <t>JÖNKÖPINGS LÄN</t>
        </is>
      </c>
      <c r="G281" t="inlineStr">
        <is>
          <t>ANEBY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46274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10155-2024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45364</v>
      </c>
      <c r="E283" s="1" t="n">
        <v>46274</v>
      </c>
      <c r="F283" t="inlineStr">
        <is>
          <t>JÖNKÖPINGS LÄN</t>
        </is>
      </c>
      <c r="G283" t="inlineStr">
        <is>
          <t>ANEBY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46274</v>
      </c>
      <c r="F284" t="inlineStr">
        <is>
          <t>JÖNKÖPINGS LÄN</t>
        </is>
      </c>
      <c r="G284" t="inlineStr">
        <is>
          <t>ANEBY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44859</v>
      </c>
      <c r="E285" s="1" t="n">
        <v>46274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46274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47409-2022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46274</v>
      </c>
      <c r="F287" t="inlineStr">
        <is>
          <t>JÖNKÖPINGS LÄN</t>
        </is>
      </c>
      <c r="G287" t="inlineStr">
        <is>
          <t>ANEBY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46274</v>
      </c>
      <c r="F288" t="inlineStr">
        <is>
          <t>JÖNKÖPINGS LÄN</t>
        </is>
      </c>
      <c r="G288" t="inlineStr">
        <is>
          <t>ANEBY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44620</v>
      </c>
      <c r="E289" s="1" t="n">
        <v>46274</v>
      </c>
      <c r="F289" t="inlineStr">
        <is>
          <t>JÖNKÖPINGS LÄN</t>
        </is>
      </c>
      <c r="G289" t="inlineStr">
        <is>
          <t>ANEBY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10456-2023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44981</v>
      </c>
      <c r="E290" s="1" t="n">
        <v>46274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46274</v>
      </c>
      <c r="F291" t="inlineStr">
        <is>
          <t>JÖNKÖPINGS LÄN</t>
        </is>
      </c>
      <c r="G291" t="inlineStr">
        <is>
          <t>ANEBY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33051-2023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45126</v>
      </c>
      <c r="E292" s="1" t="n">
        <v>46274</v>
      </c>
      <c r="F292" t="inlineStr">
        <is>
          <t>JÖNKÖPINGS LÄN</t>
        </is>
      </c>
      <c r="G292" t="inlineStr">
        <is>
          <t>ANEBY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51185-2021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44461</v>
      </c>
      <c r="E293" s="1" t="n">
        <v>46274</v>
      </c>
      <c r="F293" t="inlineStr">
        <is>
          <t>JÖNKÖPINGS LÄN</t>
        </is>
      </c>
      <c r="G293" t="inlineStr">
        <is>
          <t>ANEBY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44671</v>
      </c>
      <c r="E294" s="1" t="n">
        <v>46274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45356</v>
      </c>
      <c r="E295" s="1" t="n">
        <v>46274</v>
      </c>
      <c r="F295" t="inlineStr">
        <is>
          <t>JÖNKÖPINGS LÄN</t>
        </is>
      </c>
      <c r="G295" t="inlineStr">
        <is>
          <t>ANEBY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46274</v>
      </c>
      <c r="F296" t="inlineStr">
        <is>
          <t>JÖNKÖPINGS LÄN</t>
        </is>
      </c>
      <c r="G296" t="inlineStr">
        <is>
          <t>ANEBY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46274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46274</v>
      </c>
      <c r="F298" t="inlineStr">
        <is>
          <t>JÖNKÖPINGS LÄN</t>
        </is>
      </c>
      <c r="G298" t="inlineStr">
        <is>
          <t>ANEBY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46274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46274</v>
      </c>
      <c r="F300" t="inlineStr">
        <is>
          <t>JÖNKÖPINGS LÄN</t>
        </is>
      </c>
      <c r="G300" t="inlineStr">
        <is>
          <t>ANEBY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45034</v>
      </c>
      <c r="E301" s="1" t="n">
        <v>46274</v>
      </c>
      <c r="F301" t="inlineStr">
        <is>
          <t>JÖNKÖPINGS LÄN</t>
        </is>
      </c>
      <c r="G301" t="inlineStr">
        <is>
          <t>ANEBY</t>
        </is>
      </c>
      <c r="H301" t="inlineStr">
        <is>
          <t>Kyrkan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46274</v>
      </c>
      <c r="F302" t="inlineStr">
        <is>
          <t>JÖNKÖPINGS LÄN</t>
        </is>
      </c>
      <c r="G302" t="inlineStr">
        <is>
          <t>ANEBY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67414-2021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44524</v>
      </c>
      <c r="E303" s="1" t="n">
        <v>46274</v>
      </c>
      <c r="F303" t="inlineStr">
        <is>
          <t>JÖNKÖPINGS LÄN</t>
        </is>
      </c>
      <c r="G303" t="inlineStr">
        <is>
          <t>ANEBY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45033</v>
      </c>
      <c r="E304" s="1" t="n">
        <v>46274</v>
      </c>
      <c r="F304" t="inlineStr">
        <is>
          <t>JÖNKÖPINGS LÄN</t>
        </is>
      </c>
      <c r="G304" t="inlineStr">
        <is>
          <t>ANEBY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59507-2022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44900</v>
      </c>
      <c r="E305" s="1" t="n">
        <v>46274</v>
      </c>
      <c r="F305" t="inlineStr">
        <is>
          <t>JÖNKÖPINGS LÄN</t>
        </is>
      </c>
      <c r="G305" t="inlineStr">
        <is>
          <t>ANEBY</t>
        </is>
      </c>
      <c r="H305" t="inlineStr">
        <is>
          <t>Övriga Aktiebolag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23354-2023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45076</v>
      </c>
      <c r="E306" s="1" t="n">
        <v>46274</v>
      </c>
      <c r="F306" t="inlineStr">
        <is>
          <t>JÖNKÖPINGS LÄN</t>
        </is>
      </c>
      <c r="G306" t="inlineStr">
        <is>
          <t>ANEBY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45460</v>
      </c>
      <c r="E307" s="1" t="n">
        <v>46274</v>
      </c>
      <c r="F307" t="inlineStr">
        <is>
          <t>JÖNKÖPINGS LÄN</t>
        </is>
      </c>
      <c r="G307" t="inlineStr">
        <is>
          <t>ANEBY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37343-2023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45156</v>
      </c>
      <c r="E308" s="1" t="n">
        <v>46274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46274</v>
      </c>
      <c r="F309" t="inlineStr">
        <is>
          <t>JÖNKÖPINGS LÄN</t>
        </is>
      </c>
      <c r="G309" t="inlineStr">
        <is>
          <t>ANEBY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45077</v>
      </c>
      <c r="E310" s="1" t="n">
        <v>46274</v>
      </c>
      <c r="F310" t="inlineStr">
        <is>
          <t>JÖNKÖPINGS LÄN</t>
        </is>
      </c>
      <c r="G310" t="inlineStr">
        <is>
          <t>ANEBY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46274</v>
      </c>
      <c r="F311" t="inlineStr">
        <is>
          <t>JÖNKÖPINGS LÄN</t>
        </is>
      </c>
      <c r="G311" t="inlineStr">
        <is>
          <t>ANEBY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38794-2023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45161</v>
      </c>
      <c r="E312" s="1" t="n">
        <v>46274</v>
      </c>
      <c r="F312" t="inlineStr">
        <is>
          <t>JÖNKÖPINGS LÄN</t>
        </is>
      </c>
      <c r="G312" t="inlineStr">
        <is>
          <t>ANEBY</t>
        </is>
      </c>
      <c r="H312" t="inlineStr">
        <is>
          <t>Övriga Aktiebolag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45028</v>
      </c>
      <c r="E313" s="1" t="n">
        <v>46274</v>
      </c>
      <c r="F313" t="inlineStr">
        <is>
          <t>JÖNKÖPINGS LÄN</t>
        </is>
      </c>
      <c r="G313" t="inlineStr">
        <is>
          <t>ANEBY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46274</v>
      </c>
      <c r="F314" t="inlineStr">
        <is>
          <t>JÖNKÖPINGS LÄN</t>
        </is>
      </c>
      <c r="G314" t="inlineStr">
        <is>
          <t>ANEBY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46274</v>
      </c>
      <c r="F315" t="inlineStr">
        <is>
          <t>JÖNKÖPINGS LÄN</t>
        </is>
      </c>
      <c r="G315" t="inlineStr">
        <is>
          <t>ANEBY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15091-2023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45016</v>
      </c>
      <c r="E316" s="1" t="n">
        <v>46274</v>
      </c>
      <c r="F316" t="inlineStr">
        <is>
          <t>JÖNKÖPINGS LÄN</t>
        </is>
      </c>
      <c r="G316" t="inlineStr">
        <is>
          <t>ANEBY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44978</v>
      </c>
      <c r="E317" s="1" t="n">
        <v>46274</v>
      </c>
      <c r="F317" t="inlineStr">
        <is>
          <t>JÖNKÖPINGS LÄN</t>
        </is>
      </c>
      <c r="G317" t="inlineStr">
        <is>
          <t>ANEBY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45372</v>
      </c>
      <c r="E318" s="1" t="n">
        <v>46274</v>
      </c>
      <c r="F318" t="inlineStr">
        <is>
          <t>JÖNKÖPINGS LÄN</t>
        </is>
      </c>
      <c r="G318" t="inlineStr">
        <is>
          <t>ANEBY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46274</v>
      </c>
      <c r="F319" t="inlineStr">
        <is>
          <t>JÖNKÖPINGS LÄN</t>
        </is>
      </c>
      <c r="G319" t="inlineStr">
        <is>
          <t>ANEBY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44994</v>
      </c>
      <c r="E320" s="1" t="n">
        <v>46274</v>
      </c>
      <c r="F320" t="inlineStr">
        <is>
          <t>JÖNKÖPINGS LÄN</t>
        </is>
      </c>
      <c r="G320" t="inlineStr">
        <is>
          <t>ANEBY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40563-2024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46274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43485-2023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46274</v>
      </c>
      <c r="F322" t="inlineStr">
        <is>
          <t>JÖNKÖPINGS LÄN</t>
        </is>
      </c>
      <c r="G322" t="inlineStr">
        <is>
          <t>ANEBY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46274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46274</v>
      </c>
      <c r="F324" t="inlineStr">
        <is>
          <t>JÖNKÖPINGS LÄN</t>
        </is>
      </c>
      <c r="G324" t="inlineStr">
        <is>
          <t>ANEBY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46274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45357</v>
      </c>
      <c r="E326" s="1" t="n">
        <v>46274</v>
      </c>
      <c r="F326" t="inlineStr">
        <is>
          <t>JÖNKÖPINGS LÄN</t>
        </is>
      </c>
      <c r="G326" t="inlineStr">
        <is>
          <t>ANEBY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9071-2024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45357</v>
      </c>
      <c r="E327" s="1" t="n">
        <v>46274</v>
      </c>
      <c r="F327" t="inlineStr">
        <is>
          <t>JÖNKÖPINGS LÄN</t>
        </is>
      </c>
      <c r="G327" t="inlineStr">
        <is>
          <t>ANEBY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51160-2021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44461</v>
      </c>
      <c r="E328" s="1" t="n">
        <v>46274</v>
      </c>
      <c r="F328" t="inlineStr">
        <is>
          <t>JÖNKÖPINGS LÄN</t>
        </is>
      </c>
      <c r="G328" t="inlineStr">
        <is>
          <t>ANEBY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45089</v>
      </c>
      <c r="E329" s="1" t="n">
        <v>46274</v>
      </c>
      <c r="F329" t="inlineStr">
        <is>
          <t>JÖNKÖPINGS LÄN</t>
        </is>
      </c>
      <c r="G329" t="inlineStr">
        <is>
          <t>ANEBY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45404</v>
      </c>
      <c r="E330" s="1" t="n">
        <v>46274</v>
      </c>
      <c r="F330" t="inlineStr">
        <is>
          <t>JÖNKÖPINGS LÄN</t>
        </is>
      </c>
      <c r="G330" t="inlineStr">
        <is>
          <t>ANEBY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51331-2021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44461</v>
      </c>
      <c r="E331" s="1" t="n">
        <v>46274</v>
      </c>
      <c r="F331" t="inlineStr">
        <is>
          <t>JÖNKÖPINGS LÄN</t>
        </is>
      </c>
      <c r="G331" t="inlineStr">
        <is>
          <t>ANEBY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45365</v>
      </c>
      <c r="E332" s="1" t="n">
        <v>46274</v>
      </c>
      <c r="F332" t="inlineStr">
        <is>
          <t>JÖNKÖPINGS LÄN</t>
        </is>
      </c>
      <c r="G332" t="inlineStr">
        <is>
          <t>ANEBY</t>
        </is>
      </c>
      <c r="H332" t="inlineStr">
        <is>
          <t>Sveaskog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50069-2024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45600</v>
      </c>
      <c r="E333" s="1" t="n">
        <v>46274</v>
      </c>
      <c r="F333" t="inlineStr">
        <is>
          <t>JÖNKÖPINGS LÄN</t>
        </is>
      </c>
      <c r="G333" t="inlineStr">
        <is>
          <t>ANEBY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46274</v>
      </c>
      <c r="F334" t="inlineStr">
        <is>
          <t>JÖNKÖPINGS LÄN</t>
        </is>
      </c>
      <c r="G334" t="inlineStr">
        <is>
          <t>ANEBY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44565</v>
      </c>
      <c r="E335" s="1" t="n">
        <v>46274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45775</v>
      </c>
      <c r="E336" s="1" t="n">
        <v>46274</v>
      </c>
      <c r="F336" t="inlineStr">
        <is>
          <t>JÖNKÖPINGS LÄN</t>
        </is>
      </c>
      <c r="G336" t="inlineStr">
        <is>
          <t>ANEBY</t>
        </is>
      </c>
      <c r="H336" t="inlineStr">
        <is>
          <t>Kyrkan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46274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46274</v>
      </c>
      <c r="F338" t="inlineStr">
        <is>
          <t>JÖNKÖPINGS LÄN</t>
        </is>
      </c>
      <c r="G338" t="inlineStr">
        <is>
          <t>ANEBY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46274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46274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46274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46274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45531</v>
      </c>
      <c r="E343" s="1" t="n">
        <v>46274</v>
      </c>
      <c r="F343" t="inlineStr">
        <is>
          <t>JÖNKÖPINGS LÄN</t>
        </is>
      </c>
      <c r="G343" t="inlineStr">
        <is>
          <t>ANEBY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45812</v>
      </c>
      <c r="E344" s="1" t="n">
        <v>46274</v>
      </c>
      <c r="F344" t="inlineStr">
        <is>
          <t>JÖNKÖPINGS LÄN</t>
        </is>
      </c>
      <c r="G344" t="inlineStr">
        <is>
          <t>ANEBY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45819</v>
      </c>
      <c r="E345" s="1" t="n">
        <v>46274</v>
      </c>
      <c r="F345" t="inlineStr">
        <is>
          <t>JÖNKÖPINGS LÄN</t>
        </is>
      </c>
      <c r="G345" t="inlineStr">
        <is>
          <t>ANEBY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46274</v>
      </c>
      <c r="F346" t="inlineStr">
        <is>
          <t>JÖNKÖPINGS LÄN</t>
        </is>
      </c>
      <c r="G346" t="inlineStr">
        <is>
          <t>ANEBY</t>
        </is>
      </c>
      <c r="H346" t="inlineStr">
        <is>
          <t>Övriga Aktiebolag</t>
        </is>
      </c>
      <c r="I346" t="n">
        <v>16.8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46274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46274</v>
      </c>
      <c r="F348" t="inlineStr">
        <is>
          <t>JÖNKÖPINGS LÄN</t>
        </is>
      </c>
      <c r="G348" t="inlineStr">
        <is>
          <t>ANEBY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45688</v>
      </c>
      <c r="E349" s="1" t="n">
        <v>46274</v>
      </c>
      <c r="F349" t="inlineStr">
        <is>
          <t>JÖNKÖPINGS LÄN</t>
        </is>
      </c>
      <c r="G349" t="inlineStr">
        <is>
          <t>ANEBY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46274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46274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46274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7492-2021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44475</v>
      </c>
      <c r="E353" s="1" t="n">
        <v>46274</v>
      </c>
      <c r="F353" t="inlineStr">
        <is>
          <t>JÖNKÖPINGS LÄN</t>
        </is>
      </c>
      <c r="G353" t="inlineStr">
        <is>
          <t>ANEBY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46274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46274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46274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46274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805-2022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44603</v>
      </c>
      <c r="E358" s="1" t="n">
        <v>46274</v>
      </c>
      <c r="F358" t="inlineStr">
        <is>
          <t>JÖNKÖPINGS LÄN</t>
        </is>
      </c>
      <c r="G358" t="inlineStr">
        <is>
          <t>ANEBY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46274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46274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46274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46274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46274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2026-09-09T02:15:20Z</dcterms:created>
  <dcterms:modified xmlns:dcterms="http://purl.org/dc/terms/" xmlns:xsi="http://www.w3.org/2001/XMLSchema-instance" xsi:type="dcterms:W3CDTF">2026-09-09T02:15:20Z</dcterms:modified>
</cp:coreProperties>
</file>