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45824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45824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45824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45824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45824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45824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45824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45824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45824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16944-2023</t>
        </is>
      </c>
      <c r="B11" s="1" t="n">
        <v>45033</v>
      </c>
      <c r="C11" s="1" t="n">
        <v>45824</v>
      </c>
      <c r="D11" t="inlineStr">
        <is>
          <t>JÖNKÖPINGS LÄN</t>
        </is>
      </c>
      <c r="E11" t="inlineStr">
        <is>
          <t>ANEBY</t>
        </is>
      </c>
      <c r="G11" t="n">
        <v>9.1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Sotriska</t>
        </is>
      </c>
      <c r="S11">
        <f>HYPERLINK("https://klasma.github.io/Logging_0604/artfynd/A 16944-2023 artfynd.xlsx", "A 16944-2023")</f>
        <v/>
      </c>
      <c r="T11">
        <f>HYPERLINK("https://klasma.github.io/Logging_0604/kartor/A 16944-2023 karta.png", "A 16944-2023")</f>
        <v/>
      </c>
      <c r="V11">
        <f>HYPERLINK("https://klasma.github.io/Logging_0604/klagomål/A 16944-2023 FSC-klagomål.docx", "A 16944-2023")</f>
        <v/>
      </c>
      <c r="W11">
        <f>HYPERLINK("https://klasma.github.io/Logging_0604/klagomålsmail/A 16944-2023 FSC-klagomål mail.docx", "A 16944-2023")</f>
        <v/>
      </c>
      <c r="X11">
        <f>HYPERLINK("https://klasma.github.io/Logging_0604/tillsyn/A 16944-2023 tillsynsbegäran.docx", "A 16944-2023")</f>
        <v/>
      </c>
      <c r="Y11">
        <f>HYPERLINK("https://klasma.github.io/Logging_0604/tillsynsmail/A 16944-2023 tillsynsbegäran mail.docx", "A 16944-2023")</f>
        <v/>
      </c>
    </row>
    <row r="12" ht="15" customHeight="1">
      <c r="A12" t="inlineStr">
        <is>
          <t>A 26583-2019</t>
        </is>
      </c>
      <c r="B12" s="1" t="n">
        <v>43612</v>
      </c>
      <c r="C12" s="1" t="n">
        <v>45824</v>
      </c>
      <c r="D12" t="inlineStr">
        <is>
          <t>JÖNKÖPINGS LÄN</t>
        </is>
      </c>
      <c r="E12" t="inlineStr">
        <is>
          <t>ANEBY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HYPERLINK("https://klasma.github.io/Logging_0604/artfynd/A 26583-2019 artfynd.xlsx", "A 26583-2019")</f>
        <v/>
      </c>
      <c r="T12">
        <f>HYPERLINK("https://klasma.github.io/Logging_0604/kartor/A 26583-2019 karta.png", "A 26583-2019")</f>
        <v/>
      </c>
      <c r="V12">
        <f>HYPERLINK("https://klasma.github.io/Logging_0604/klagomål/A 26583-2019 FSC-klagomål.docx", "A 26583-2019")</f>
        <v/>
      </c>
      <c r="W12">
        <f>HYPERLINK("https://klasma.github.io/Logging_0604/klagomålsmail/A 26583-2019 FSC-klagomål mail.docx", "A 26583-2019")</f>
        <v/>
      </c>
      <c r="X12">
        <f>HYPERLINK("https://klasma.github.io/Logging_0604/tillsyn/A 26583-2019 tillsynsbegäran.docx", "A 26583-2019")</f>
        <v/>
      </c>
      <c r="Y12">
        <f>HYPERLINK("https://klasma.github.io/Logging_0604/tillsynsmail/A 26583-2019 tillsynsbegäran mail.docx", "A 26583-2019")</f>
        <v/>
      </c>
    </row>
    <row r="13" ht="15" customHeight="1">
      <c r="A13" t="inlineStr">
        <is>
          <t>A 51106-2020</t>
        </is>
      </c>
      <c r="B13" s="1" t="n">
        <v>44112</v>
      </c>
      <c r="C13" s="1" t="n">
        <v>45824</v>
      </c>
      <c r="D13" t="inlineStr">
        <is>
          <t>JÖNKÖPINGS LÄN</t>
        </is>
      </c>
      <c r="E13" t="inlineStr">
        <is>
          <t>ANEBY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Ögonpyrola</t>
        </is>
      </c>
      <c r="S13">
        <f>HYPERLINK("https://klasma.github.io/Logging_0604/artfynd/A 51106-2020 artfynd.xlsx", "A 51106-2020")</f>
        <v/>
      </c>
      <c r="T13">
        <f>HYPERLINK("https://klasma.github.io/Logging_0604/kartor/A 51106-2020 karta.png", "A 51106-2020")</f>
        <v/>
      </c>
      <c r="V13">
        <f>HYPERLINK("https://klasma.github.io/Logging_0604/klagomål/A 51106-2020 FSC-klagomål.docx", "A 51106-2020")</f>
        <v/>
      </c>
      <c r="W13">
        <f>HYPERLINK("https://klasma.github.io/Logging_0604/klagomålsmail/A 51106-2020 FSC-klagomål mail.docx", "A 51106-2020")</f>
        <v/>
      </c>
      <c r="X13">
        <f>HYPERLINK("https://klasma.github.io/Logging_0604/tillsyn/A 51106-2020 tillsynsbegäran.docx", "A 51106-2020")</f>
        <v/>
      </c>
      <c r="Y13">
        <f>HYPERLINK("https://klasma.github.io/Logging_0604/tillsynsmail/A 51106-2020 tillsynsbegäran mail.docx", "A 51106-2020")</f>
        <v/>
      </c>
    </row>
    <row r="14" ht="15" customHeight="1">
      <c r="A14" t="inlineStr">
        <is>
          <t>A 63467-2021</t>
        </is>
      </c>
      <c r="B14" s="1" t="n">
        <v>44508</v>
      </c>
      <c r="C14" s="1" t="n">
        <v>45824</v>
      </c>
      <c r="D14" t="inlineStr">
        <is>
          <t>JÖNKÖPINGS LÄN</t>
        </is>
      </c>
      <c r="E14" t="inlineStr">
        <is>
          <t>ANEBY</t>
        </is>
      </c>
      <c r="G14" t="n">
        <v>0.5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Åkerrättika</t>
        </is>
      </c>
      <c r="S14">
        <f>HYPERLINK("https://klasma.github.io/Logging_0604/artfynd/A 63467-2021 artfynd.xlsx", "A 63467-2021")</f>
        <v/>
      </c>
      <c r="T14">
        <f>HYPERLINK("https://klasma.github.io/Logging_0604/kartor/A 63467-2021 karta.png", "A 63467-2021")</f>
        <v/>
      </c>
      <c r="V14">
        <f>HYPERLINK("https://klasma.github.io/Logging_0604/klagomål/A 63467-2021 FSC-klagomål.docx", "A 63467-2021")</f>
        <v/>
      </c>
      <c r="W14">
        <f>HYPERLINK("https://klasma.github.io/Logging_0604/klagomålsmail/A 63467-2021 FSC-klagomål mail.docx", "A 63467-2021")</f>
        <v/>
      </c>
      <c r="X14">
        <f>HYPERLINK("https://klasma.github.io/Logging_0604/tillsyn/A 63467-2021 tillsynsbegäran.docx", "A 63467-2021")</f>
        <v/>
      </c>
      <c r="Y14">
        <f>HYPERLINK("https://klasma.github.io/Logging_0604/tillsynsmail/A 63467-2021 tillsynsbegäran mail.docx", "A 63467-2021")</f>
        <v/>
      </c>
    </row>
    <row r="15" ht="15" customHeight="1">
      <c r="A15" t="inlineStr">
        <is>
          <t>A 412-2022</t>
        </is>
      </c>
      <c r="B15" s="1" t="n">
        <v>44565</v>
      </c>
      <c r="C15" s="1" t="n">
        <v>45824</v>
      </c>
      <c r="D15" t="inlineStr">
        <is>
          <t>JÖNKÖPINGS LÄN</t>
        </is>
      </c>
      <c r="E15" t="inlineStr">
        <is>
          <t>ANEBY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HYPERLINK("https://klasma.github.io/Logging_0604/artfynd/A 412-2022 artfynd.xlsx", "A 412-2022")</f>
        <v/>
      </c>
      <c r="T15">
        <f>HYPERLINK("https://klasma.github.io/Logging_0604/kartor/A 412-2022 karta.png", "A 412-2022")</f>
        <v/>
      </c>
      <c r="V15">
        <f>HYPERLINK("https://klasma.github.io/Logging_0604/klagomål/A 412-2022 FSC-klagomål.docx", "A 412-2022")</f>
        <v/>
      </c>
      <c r="W15">
        <f>HYPERLINK("https://klasma.github.io/Logging_0604/klagomålsmail/A 412-2022 FSC-klagomål mail.docx", "A 412-2022")</f>
        <v/>
      </c>
      <c r="X15">
        <f>HYPERLINK("https://klasma.github.io/Logging_0604/tillsyn/A 412-2022 tillsynsbegäran.docx", "A 412-2022")</f>
        <v/>
      </c>
      <c r="Y15">
        <f>HYPERLINK("https://klasma.github.io/Logging_0604/tillsynsmail/A 412-2022 tillsynsbegäran mail.docx", "A 412-2022")</f>
        <v/>
      </c>
    </row>
    <row r="16" ht="15" customHeight="1">
      <c r="A16" t="inlineStr">
        <is>
          <t>A 16508-2022</t>
        </is>
      </c>
      <c r="B16" s="1" t="n">
        <v>44671</v>
      </c>
      <c r="C16" s="1" t="n">
        <v>45824</v>
      </c>
      <c r="D16" t="inlineStr">
        <is>
          <t>JÖNKÖPINGS LÄN</t>
        </is>
      </c>
      <c r="E16" t="inlineStr">
        <is>
          <t>ANEBY</t>
        </is>
      </c>
      <c r="G16" t="n">
        <v>3.4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Trädlärka</t>
        </is>
      </c>
      <c r="S16">
        <f>HYPERLINK("https://klasma.github.io/Logging_0604/artfynd/A 16508-2022 artfynd.xlsx", "A 16508-2022")</f>
        <v/>
      </c>
      <c r="T16">
        <f>HYPERLINK("https://klasma.github.io/Logging_0604/kartor/A 16508-2022 karta.png", "A 16508-2022")</f>
        <v/>
      </c>
      <c r="V16">
        <f>HYPERLINK("https://klasma.github.io/Logging_0604/klagomål/A 16508-2022 FSC-klagomål.docx", "A 16508-2022")</f>
        <v/>
      </c>
      <c r="W16">
        <f>HYPERLINK("https://klasma.github.io/Logging_0604/klagomålsmail/A 16508-2022 FSC-klagomål mail.docx", "A 16508-2022")</f>
        <v/>
      </c>
      <c r="X16">
        <f>HYPERLINK("https://klasma.github.io/Logging_0604/tillsyn/A 16508-2022 tillsynsbegäran.docx", "A 16508-2022")</f>
        <v/>
      </c>
      <c r="Y16">
        <f>HYPERLINK("https://klasma.github.io/Logging_0604/tillsynsmail/A 16508-2022 tillsynsbegäran mail.docx", "A 16508-2022")</f>
        <v/>
      </c>
      <c r="Z16">
        <f>HYPERLINK("https://klasma.github.io/Logging_0604/fåglar/A 16508-2022 prioriterade fågelarter.docx", "A 16508-2022")</f>
        <v/>
      </c>
    </row>
    <row r="17" ht="15" customHeight="1">
      <c r="A17" t="inlineStr">
        <is>
          <t>A 26784-2022</t>
        </is>
      </c>
      <c r="B17" s="1" t="n">
        <v>44740</v>
      </c>
      <c r="C17" s="1" t="n">
        <v>45824</v>
      </c>
      <c r="D17" t="inlineStr">
        <is>
          <t>JÖNKÖPINGS LÄN</t>
        </is>
      </c>
      <c r="E17" t="inlineStr">
        <is>
          <t>ANEBY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HYPERLINK("https://klasma.github.io/Logging_0604/artfynd/A 26784-2022 artfynd.xlsx", "A 26784-2022")</f>
        <v/>
      </c>
      <c r="T17">
        <f>HYPERLINK("https://klasma.github.io/Logging_0604/kartor/A 26784-2022 karta.png", "A 26784-2022")</f>
        <v/>
      </c>
      <c r="V17">
        <f>HYPERLINK("https://klasma.github.io/Logging_0604/klagomål/A 26784-2022 FSC-klagomål.docx", "A 26784-2022")</f>
        <v/>
      </c>
      <c r="W17">
        <f>HYPERLINK("https://klasma.github.io/Logging_0604/klagomålsmail/A 26784-2022 FSC-klagomål mail.docx", "A 26784-2022")</f>
        <v/>
      </c>
      <c r="X17">
        <f>HYPERLINK("https://klasma.github.io/Logging_0604/tillsyn/A 26784-2022 tillsynsbegäran.docx", "A 26784-2022")</f>
        <v/>
      </c>
      <c r="Y17">
        <f>HYPERLINK("https://klasma.github.io/Logging_0604/tillsynsmail/A 26784-2022 tillsynsbegäran mail.docx", "A 26784-2022")</f>
        <v/>
      </c>
    </row>
    <row r="18" ht="15" customHeight="1">
      <c r="A18" t="inlineStr">
        <is>
          <t>A 28452-2022</t>
        </is>
      </c>
      <c r="B18" s="1" t="n">
        <v>44747</v>
      </c>
      <c r="C18" s="1" t="n">
        <v>45824</v>
      </c>
      <c r="D18" t="inlineStr">
        <is>
          <t>JÖNKÖPINGS LÄN</t>
        </is>
      </c>
      <c r="E18" t="inlineStr">
        <is>
          <t>ANEBY</t>
        </is>
      </c>
      <c r="G18" t="n">
        <v>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Odontocerum albicorne</t>
        </is>
      </c>
      <c r="S18">
        <f>HYPERLINK("https://klasma.github.io/Logging_0604/artfynd/A 28452-2022 artfynd.xlsx", "A 28452-2022")</f>
        <v/>
      </c>
      <c r="T18">
        <f>HYPERLINK("https://klasma.github.io/Logging_0604/kartor/A 28452-2022 karta.png", "A 28452-2022")</f>
        <v/>
      </c>
      <c r="V18">
        <f>HYPERLINK("https://klasma.github.io/Logging_0604/klagomål/A 28452-2022 FSC-klagomål.docx", "A 28452-2022")</f>
        <v/>
      </c>
      <c r="W18">
        <f>HYPERLINK("https://klasma.github.io/Logging_0604/klagomålsmail/A 28452-2022 FSC-klagomål mail.docx", "A 28452-2022")</f>
        <v/>
      </c>
      <c r="X18">
        <f>HYPERLINK("https://klasma.github.io/Logging_0604/tillsyn/A 28452-2022 tillsynsbegäran.docx", "A 28452-2022")</f>
        <v/>
      </c>
      <c r="Y18">
        <f>HYPERLINK("https://klasma.github.io/Logging_0604/tillsynsmail/A 28452-2022 tillsynsbegäran mail.docx", "A 28452-2022")</f>
        <v/>
      </c>
    </row>
    <row r="19" ht="15" customHeight="1">
      <c r="A19" t="inlineStr">
        <is>
          <t>A 11022-2023</t>
        </is>
      </c>
      <c r="B19" s="1" t="n">
        <v>44991</v>
      </c>
      <c r="C19" s="1" t="n">
        <v>45824</v>
      </c>
      <c r="D19" t="inlineStr">
        <is>
          <t>JÖNKÖPINGS LÄN</t>
        </is>
      </c>
      <c r="E19" t="inlineStr">
        <is>
          <t>ANEBY</t>
        </is>
      </c>
      <c r="G19" t="n">
        <v>10.5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HYPERLINK("https://klasma.github.io/Logging_0604/artfynd/A 11022-2023 artfynd.xlsx", "A 11022-2023")</f>
        <v/>
      </c>
      <c r="T19">
        <f>HYPERLINK("https://klasma.github.io/Logging_0604/kartor/A 11022-2023 karta.png", "A 11022-2023")</f>
        <v/>
      </c>
      <c r="V19">
        <f>HYPERLINK("https://klasma.github.io/Logging_0604/klagomål/A 11022-2023 FSC-klagomål.docx", "A 11022-2023")</f>
        <v/>
      </c>
      <c r="W19">
        <f>HYPERLINK("https://klasma.github.io/Logging_0604/klagomålsmail/A 11022-2023 FSC-klagomål mail.docx", "A 11022-2023")</f>
        <v/>
      </c>
      <c r="X19">
        <f>HYPERLINK("https://klasma.github.io/Logging_0604/tillsyn/A 11022-2023 tillsynsbegäran.docx", "A 11022-2023")</f>
        <v/>
      </c>
      <c r="Y19">
        <f>HYPERLINK("https://klasma.github.io/Logging_0604/tillsynsmail/A 11022-2023 tillsynsbegäran mail.docx", "A 11022-2023")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45824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45824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45824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45824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45824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45824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45824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45824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45824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45824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45824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45824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45824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45824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45824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45824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45824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45824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45824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45824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45824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45824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45824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45824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45824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45824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45824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45824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45824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45824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45824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45824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45824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45824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45824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45824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45824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45824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45824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45824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45824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45824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45824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45824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45824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45824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45824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45824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45824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45824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45824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45824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45824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45824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45824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45824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45824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45824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45824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45824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45824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45824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45824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45824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45824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45824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45824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45824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45824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45824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45824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45824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45824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45824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45824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45824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45824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45824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45824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45824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45824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45824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45824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45824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45824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45824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45824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45824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45824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45824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45824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45824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45824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45824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45824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45824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45824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45824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45824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45824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45824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45824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45824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45824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45824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45824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45824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45824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45824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45824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45824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45824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45824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45824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45824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45824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45824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45824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45824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45824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45824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45824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45824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45824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45824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45824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45824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45824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45824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45824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45824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45824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45824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45824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45824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45824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45824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45824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45824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45824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45824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45824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45824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45824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45824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45824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45824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45824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45824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45824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45824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45824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45824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45824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45824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45824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45824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45824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45824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45824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45824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45824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45824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45824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45824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45824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45824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45824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45824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45824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45824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45824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45824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45824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45824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45824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45824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45824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45824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45824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45824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45824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45824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45824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45824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45824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45824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45824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45824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45824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45824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45824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45824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45824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45824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45824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45824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45824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45824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45824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45824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45824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45824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45824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45824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45824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45824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45824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45824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45824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45824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45824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45824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45824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45824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45824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45824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45824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45824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45824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45824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45824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45824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45824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45824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45824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45824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45824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45824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45824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45824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45824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45824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45824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45824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45824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45824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45824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45824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45824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45824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45824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45824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45824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45824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45824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45824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45824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45824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45824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45824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45824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45824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45824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45824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45824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45824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45824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45824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45824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45824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45824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45824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45824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45824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45824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45824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45824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45824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45824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45824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45824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45824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45824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45824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45824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45824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45824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45824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45824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45824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45824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45824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45824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45824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45824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45824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45824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45824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45824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45824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45824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45824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45824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45824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45824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45824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45824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45824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45824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45824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45824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45824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45824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45824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45824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45824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45824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45824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45824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45824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45824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45824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45824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45824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45824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45824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45824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45824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45824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45824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45824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45824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45824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45824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45824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45824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45824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45824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45824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45824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45824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45824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45824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45824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45824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45824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45824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45824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45824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45824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45824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45824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45824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45824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45824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45824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45824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45824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45824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45824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45824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45824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45824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45824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45824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45824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45824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45824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45824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45824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45824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45824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45824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45824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45824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45824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45824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45824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45824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45824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45824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45824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45824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45824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45824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45824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45824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45824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45824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45824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45824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45824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45824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45824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45824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45824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45824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45824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45824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45824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45824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45824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45824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45824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45824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45824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45824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45824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45824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45824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45824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45824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45824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45824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45824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45824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45824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45824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45824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45824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45824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45824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45824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45824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45824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45824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45824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45824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45824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45824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45824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45824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45824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45824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45824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45824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45824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45824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45824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45824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45824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45824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45824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45824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45824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45824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45824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45824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45824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45824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45824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45824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45824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45824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45824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45824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45824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45824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45824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45824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45824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45824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45824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45824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45824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45824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45824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45824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45824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45824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45824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45824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45824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45824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45824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45824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45824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45824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45824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45824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45824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45824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45824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45824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45824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45824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45824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45824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45824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45824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45824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45824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45824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45824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45824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45824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45824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45824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45824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45824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45824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45824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45824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45824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45824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45824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45824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45824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45824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45824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45824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45824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45824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45824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45824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45824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45824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45824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45824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45824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45824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45824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45824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45824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45824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45824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45824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45824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45824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45824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45824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45824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45824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45824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45824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45824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45824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45824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45824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45824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45824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45824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45824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45824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45824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45824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45824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45824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45824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45824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45824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45824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45824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45824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45824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45824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45824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45824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45824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45824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45824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45824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45824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45824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45824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45824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45824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45824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45824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45824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45824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45824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45824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45824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45824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45824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45824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45824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45824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45824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45824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45824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45824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45824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45824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45824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45824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45824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45824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45824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45824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45824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45824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45824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45824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45824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45824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45824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45824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45824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45824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45824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45824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45824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45824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45824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45824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45824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45824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45824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45824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45824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19335-2025</t>
        </is>
      </c>
      <c r="B623" s="1" t="n">
        <v>45769</v>
      </c>
      <c r="C623" s="1" t="n">
        <v>45824</v>
      </c>
      <c r="D623" t="inlineStr">
        <is>
          <t>JÖNKÖPINGS LÄN</t>
        </is>
      </c>
      <c r="E623" t="inlineStr">
        <is>
          <t>ANEBY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19362-2025</t>
        </is>
      </c>
      <c r="B624" s="1" t="n">
        <v>45769</v>
      </c>
      <c r="C624" s="1" t="n">
        <v>45824</v>
      </c>
      <c r="D624" t="inlineStr">
        <is>
          <t>JÖNKÖPINGS LÄN</t>
        </is>
      </c>
      <c r="E624" t="inlineStr">
        <is>
          <t>ANEBY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45824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45824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45824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45824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21333-2025</t>
        </is>
      </c>
      <c r="B629" s="1" t="n">
        <v>45782</v>
      </c>
      <c r="C629" s="1" t="n">
        <v>45824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23598-2025</t>
        </is>
      </c>
      <c r="B630" s="1" t="n">
        <v>45792</v>
      </c>
      <c r="C630" s="1" t="n">
        <v>45824</v>
      </c>
      <c r="D630" t="inlineStr">
        <is>
          <t>JÖNKÖPINGS LÄN</t>
        </is>
      </c>
      <c r="E630" t="inlineStr">
        <is>
          <t>ANEBY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23966-2025</t>
        </is>
      </c>
      <c r="B631" s="1" t="n">
        <v>45796</v>
      </c>
      <c r="C631" s="1" t="n">
        <v>45824</v>
      </c>
      <c r="D631" t="inlineStr">
        <is>
          <t>JÖNKÖPINGS LÄN</t>
        </is>
      </c>
      <c r="E631" t="inlineStr">
        <is>
          <t>ANEBY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24708-2025</t>
        </is>
      </c>
      <c r="B632" s="1" t="n">
        <v>45798</v>
      </c>
      <c r="C632" s="1" t="n">
        <v>45824</v>
      </c>
      <c r="D632" t="inlineStr">
        <is>
          <t>JÖNKÖPINGS LÄN</t>
        </is>
      </c>
      <c r="E632" t="inlineStr">
        <is>
          <t>ANEBY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24709-2025</t>
        </is>
      </c>
      <c r="B633" s="1" t="n">
        <v>45798</v>
      </c>
      <c r="C633" s="1" t="n">
        <v>45824</v>
      </c>
      <c r="D633" t="inlineStr">
        <is>
          <t>JÖNKÖPINGS LÄN</t>
        </is>
      </c>
      <c r="E633" t="inlineStr">
        <is>
          <t>ANEBY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27204-2025</t>
        </is>
      </c>
      <c r="B634" s="1" t="n">
        <v>45812</v>
      </c>
      <c r="C634" s="1" t="n">
        <v>45824</v>
      </c>
      <c r="D634" t="inlineStr">
        <is>
          <t>JÖNKÖPINGS LÄN</t>
        </is>
      </c>
      <c r="E634" t="inlineStr">
        <is>
          <t>ANEBY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27205-2025</t>
        </is>
      </c>
      <c r="B635" s="1" t="n">
        <v>45812</v>
      </c>
      <c r="C635" s="1" t="n">
        <v>45824</v>
      </c>
      <c r="D635" t="inlineStr">
        <is>
          <t>JÖNKÖPINGS LÄN</t>
        </is>
      </c>
      <c r="E635" t="inlineStr">
        <is>
          <t>ANEBY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28543-2025</t>
        </is>
      </c>
      <c r="B636" s="1" t="n">
        <v>45819</v>
      </c>
      <c r="C636" s="1" t="n">
        <v>45824</v>
      </c>
      <c r="D636" t="inlineStr">
        <is>
          <t>JÖNKÖPINGS LÄN</t>
        </is>
      </c>
      <c r="E636" t="inlineStr">
        <is>
          <t>ANEBY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28540-2025</t>
        </is>
      </c>
      <c r="B637" s="1" t="n">
        <v>45819</v>
      </c>
      <c r="C637" s="1" t="n">
        <v>45824</v>
      </c>
      <c r="D637" t="inlineStr">
        <is>
          <t>JÖNKÖPINGS LÄN</t>
        </is>
      </c>
      <c r="E637" t="inlineStr">
        <is>
          <t>ANEBY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>
      <c r="A638" t="inlineStr">
        <is>
          <t>A 28541-2025</t>
        </is>
      </c>
      <c r="B638" s="1" t="n">
        <v>45819</v>
      </c>
      <c r="C638" s="1" t="n">
        <v>45824</v>
      </c>
      <c r="D638" t="inlineStr">
        <is>
          <t>JÖNKÖPINGS LÄN</t>
        </is>
      </c>
      <c r="E638" t="inlineStr">
        <is>
          <t>ANEBY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2025-06-16T19:02:08Z</dcterms:created>
  <dcterms:modified xmlns:dcterms="http://purl.org/dc/terms/" xmlns:xsi="http://www.w3.org/2001/XMLSchema-instance" xsi:type="dcterms:W3CDTF">2025-06-16T19:02:09Z</dcterms:modified>
</cp:coreProperties>
</file>