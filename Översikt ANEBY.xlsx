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46225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46225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46225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46225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46225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46225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46225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46225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46225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46225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46225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46225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46225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46225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46225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46225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46225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46225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46225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46225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46225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46225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46225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46225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46225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46225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46225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38728-2024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46225</v>
      </c>
      <c r="F29" t="inlineStr">
        <is>
          <t>JÖNKÖPINGS LÄN</t>
        </is>
      </c>
      <c r="G29" t="inlineStr">
        <is>
          <t>ANEBY</t>
        </is>
      </c>
      <c r="I29" t="n">
        <v>5.5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HYPERLINK("https://klasma.github.io/Logging_0604/artfynd/A 38728-2024 artfynd.xlsx", "A 38728-2024")</f>
        <v/>
      </c>
      <c r="X29">
        <f>HYPERLINK("https://klasma.github.io/Logging_0604/kartor/A 38728-2024 karta.png", "A 38728-2024")</f>
        <v/>
      </c>
      <c r="Y29">
        <f>HYPERLINK("https://klasma.github.io/Logging_0604/kartor_geotiff/A 38728-2024 georefererad karta.tif", "A 38728-2024")</f>
        <v/>
      </c>
      <c r="AA29">
        <f>HYPERLINK("https://klasma.github.io/Logging_0604/klagomål/A 38728-2024 FSC-klagomål.docx", "A 38728-2024")</f>
        <v/>
      </c>
      <c r="AB29">
        <f>HYPERLINK("https://klasma.github.io/Logging_0604/klagomålsmail/A 38728-2024 FSC-klagomål mail.docx", "A 38728-2024")</f>
        <v/>
      </c>
      <c r="AC29">
        <f>HYPERLINK("https://klasma.github.io/Logging_0604/tillsyn/A 38728-2024 tillsynsbegäran.docx", "A 38728-2024")</f>
        <v/>
      </c>
      <c r="AD29">
        <f>HYPERLINK("https://klasma.github.io/Logging_0604/tillsynsmail/A 38728-2024 tillsynsbegäran mail.docx", "A 38728-2024")</f>
        <v/>
      </c>
      <c r="AE29">
        <f>HYPERLINK("https://klasma.github.io/Logging_0604/fåglar/A 38728-2024 prioriterade fågelarter.docx", "A 38728-2024")</f>
        <v/>
      </c>
    </row>
    <row r="30" ht="15" customHeight="1">
      <c r="A30" t="inlineStr">
        <is>
          <t>A 13163-2024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45386</v>
      </c>
      <c r="E30" s="1" t="n">
        <v>46225</v>
      </c>
      <c r="F30" t="inlineStr">
        <is>
          <t>JÖNKÖPINGS LÄN</t>
        </is>
      </c>
      <c r="G30" t="inlineStr">
        <is>
          <t>ANEBY</t>
        </is>
      </c>
      <c r="I30" t="n">
        <v>6.9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HYPERLINK("https://klasma.github.io/Logging_0604/artfynd/A 13163-2024 artfynd.xlsx", "A 13163-2024")</f>
        <v/>
      </c>
      <c r="X30">
        <f>HYPERLINK("https://klasma.github.io/Logging_0604/kartor/A 13163-2024 karta.png", "A 13163-2024")</f>
        <v/>
      </c>
      <c r="Y30">
        <f>HYPERLINK("https://klasma.github.io/Logging_0604/kartor_geotiff/A 13163-2024 georefererad karta.tif", "A 13163-2024")</f>
        <v/>
      </c>
      <c r="AA30">
        <f>HYPERLINK("https://klasma.github.io/Logging_0604/klagomål/A 13163-2024 FSC-klagomål.docx", "A 13163-2024")</f>
        <v/>
      </c>
      <c r="AB30">
        <f>HYPERLINK("https://klasma.github.io/Logging_0604/klagomålsmail/A 13163-2024 FSC-klagomål mail.docx", "A 13163-2024")</f>
        <v/>
      </c>
      <c r="AC30">
        <f>HYPERLINK("https://klasma.github.io/Logging_0604/tillsyn/A 13163-2024 tillsynsbegäran.docx", "A 13163-2024")</f>
        <v/>
      </c>
      <c r="AD30">
        <f>HYPERLINK("https://klasma.github.io/Logging_0604/tillsynsmail/A 13163-2024 tillsynsbegäran mail.docx", "A 13163-2024")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46225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46225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46225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46225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46225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25891-2026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46225</v>
      </c>
      <c r="F36" t="inlineStr">
        <is>
          <t>JÖNKÖPINGS LÄN</t>
        </is>
      </c>
      <c r="G36" t="inlineStr">
        <is>
          <t>ANEBY</t>
        </is>
      </c>
      <c r="I36" t="n">
        <v>5.6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Stor ängsmaskros</t>
        </is>
      </c>
      <c r="W36">
        <f>HYPERLINK("https://klasma.github.io/Logging_0604/artfynd/A 25891-2026 artfynd.xlsx", "A 25891-2026")</f>
        <v/>
      </c>
      <c r="X36">
        <f>HYPERLINK("https://klasma.github.io/Logging_0604/kartor/A 25891-2026 karta.png", "A 25891-2026")</f>
        <v/>
      </c>
      <c r="Y36">
        <f>HYPERLINK("https://klasma.github.io/Logging_0604/kartor_geotiff/A 25891-2026 georefererad karta.tif", "A 25891-2026")</f>
        <v/>
      </c>
      <c r="AA36">
        <f>HYPERLINK("https://klasma.github.io/Logging_0604/klagomål/A 25891-2026 FSC-klagomål.docx", "A 25891-2026")</f>
        <v/>
      </c>
      <c r="AB36">
        <f>HYPERLINK("https://klasma.github.io/Logging_0604/klagomålsmail/A 25891-2026 FSC-klagomål mail.docx", "A 25891-2026")</f>
        <v/>
      </c>
      <c r="AC36">
        <f>HYPERLINK("https://klasma.github.io/Logging_0604/tillsyn/A 25891-2026 tillsynsbegäran.docx", "A 25891-2026")</f>
        <v/>
      </c>
      <c r="AD36">
        <f>HYPERLINK("https://klasma.github.io/Logging_0604/tillsynsmail/A 25891-2026 tillsynsbegäran mail.docx", "A 25891-2026")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46225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10358-2024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46225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HYPERLINK("https://klasma.github.io/Logging_0604/artfynd/A 10358-2024 artfynd.xlsx", "A 10358-2024")</f>
        <v/>
      </c>
      <c r="X38">
        <f>HYPERLINK("https://klasma.github.io/Logging_0604/kartor/A 10358-2024 karta.png", "A 10358-2024")</f>
        <v/>
      </c>
      <c r="Y38">
        <f>HYPERLINK("https://klasma.github.io/Logging_0604/kartor_geotiff/A 10358-2024 georefererad karta.tif", "A 10358-2024")</f>
        <v/>
      </c>
      <c r="AA38">
        <f>HYPERLINK("https://klasma.github.io/Logging_0604/klagomål/A 10358-2024 FSC-klagomål.docx", "A 10358-2024")</f>
        <v/>
      </c>
      <c r="AB38">
        <f>HYPERLINK("https://klasma.github.io/Logging_0604/klagomålsmail/A 10358-2024 FSC-klagomål mail.docx", "A 10358-2024")</f>
        <v/>
      </c>
      <c r="AC38">
        <f>HYPERLINK("https://klasma.github.io/Logging_0604/tillsyn/A 10358-2024 tillsynsbegäran.docx", "A 10358-2024")</f>
        <v/>
      </c>
      <c r="AD38">
        <f>HYPERLINK("https://klasma.github.io/Logging_0604/tillsynsmail/A 10358-2024 tillsynsbegäran mail.docx", "A 10358-2024")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46225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46225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46225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46225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46225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46225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46225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46225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46225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46225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46225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46225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46225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46225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46225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46225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46225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46225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46225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46225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46225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46225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46225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46225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46225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46225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46225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46225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46225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46225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46225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46225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46225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46225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46225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46225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46225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44423</v>
      </c>
      <c r="E76" s="1" t="n">
        <v>46225</v>
      </c>
      <c r="F76" t="inlineStr">
        <is>
          <t>JÖNKÖPINGS LÄN</t>
        </is>
      </c>
      <c r="G76" t="inlineStr">
        <is>
          <t>ANEBY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45806-2023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46225</v>
      </c>
      <c r="F77" t="inlineStr">
        <is>
          <t>JÖNKÖPINGS LÄN</t>
        </is>
      </c>
      <c r="G77" t="inlineStr">
        <is>
          <t>ANEBY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46225</v>
      </c>
      <c r="F78" t="inlineStr">
        <is>
          <t>JÖNKÖPINGS LÄN</t>
        </is>
      </c>
      <c r="G78" t="inlineStr">
        <is>
          <t>ANEBY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46225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46225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46225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46225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46225</v>
      </c>
      <c r="F83" t="inlineStr">
        <is>
          <t>JÖNKÖPINGS LÄN</t>
        </is>
      </c>
      <c r="G83" t="inlineStr">
        <is>
          <t>ANEBY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45250</v>
      </c>
      <c r="E84" s="1" t="n">
        <v>46225</v>
      </c>
      <c r="F84" t="inlineStr">
        <is>
          <t>JÖNKÖPINGS LÄN</t>
        </is>
      </c>
      <c r="G84" t="inlineStr">
        <is>
          <t>ANEBY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46225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46225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24901-2024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46225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44860</v>
      </c>
      <c r="E88" s="1" t="n">
        <v>46225</v>
      </c>
      <c r="F88" t="inlineStr">
        <is>
          <t>JÖNKÖPINGS LÄN</t>
        </is>
      </c>
      <c r="G88" t="inlineStr">
        <is>
          <t>ANEBY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46225</v>
      </c>
      <c r="F89" t="inlineStr">
        <is>
          <t>JÖNKÖPINGS LÄN</t>
        </is>
      </c>
      <c r="G89" t="inlineStr">
        <is>
          <t>ANEBY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46225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45356</v>
      </c>
      <c r="E91" s="1" t="n">
        <v>46225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45454</v>
      </c>
      <c r="E92" s="1" t="n">
        <v>46225</v>
      </c>
      <c r="F92" t="inlineStr">
        <is>
          <t>JÖNKÖPINGS LÄN</t>
        </is>
      </c>
      <c r="G92" t="inlineStr">
        <is>
          <t>ANEBY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46225</v>
      </c>
      <c r="F93" t="inlineStr">
        <is>
          <t>JÖNKÖPINGS LÄN</t>
        </is>
      </c>
      <c r="G93" t="inlineStr">
        <is>
          <t>ANEBY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35555-2024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45531</v>
      </c>
      <c r="E94" s="1" t="n">
        <v>46225</v>
      </c>
      <c r="F94" t="inlineStr">
        <is>
          <t>JÖNKÖPINGS LÄN</t>
        </is>
      </c>
      <c r="G94" t="inlineStr">
        <is>
          <t>ANEBY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46225</v>
      </c>
      <c r="F95" t="inlineStr">
        <is>
          <t>JÖNKÖPINGS LÄN</t>
        </is>
      </c>
      <c r="G95" t="inlineStr">
        <is>
          <t>ANEBY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1955-2026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46225</v>
      </c>
      <c r="F96" t="inlineStr">
        <is>
          <t>JÖNKÖPINGS LÄN</t>
        </is>
      </c>
      <c r="G96" t="inlineStr">
        <is>
          <t>ANEBY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46225</v>
      </c>
      <c r="F97" t="inlineStr">
        <is>
          <t>JÖNKÖPINGS LÄN</t>
        </is>
      </c>
      <c r="G97" t="inlineStr">
        <is>
          <t>ANEBY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45205</v>
      </c>
      <c r="E98" s="1" t="n">
        <v>46225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46225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46225</v>
      </c>
      <c r="F100" t="inlineStr">
        <is>
          <t>JÖNKÖPINGS LÄN</t>
        </is>
      </c>
      <c r="G100" t="inlineStr">
        <is>
          <t>ANEBY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46225</v>
      </c>
      <c r="F101" t="inlineStr">
        <is>
          <t>JÖNKÖPINGS LÄN</t>
        </is>
      </c>
      <c r="G101" t="inlineStr">
        <is>
          <t>ANEBY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46225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46225</v>
      </c>
      <c r="F103" t="inlineStr">
        <is>
          <t>JÖNKÖPINGS LÄN</t>
        </is>
      </c>
      <c r="G103" t="inlineStr">
        <is>
          <t>ANEBY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44890</v>
      </c>
      <c r="E104" s="1" t="n">
        <v>46225</v>
      </c>
      <c r="F104" t="inlineStr">
        <is>
          <t>JÖNKÖPINGS LÄN</t>
        </is>
      </c>
      <c r="G104" t="inlineStr">
        <is>
          <t>ANEBY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46225</v>
      </c>
      <c r="F105" t="inlineStr">
        <is>
          <t>JÖNKÖPINGS LÄN</t>
        </is>
      </c>
      <c r="G105" t="inlineStr">
        <is>
          <t>ANEBY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46225</v>
      </c>
      <c r="F106" t="inlineStr">
        <is>
          <t>JÖNKÖPINGS LÄN</t>
        </is>
      </c>
      <c r="G106" t="inlineStr">
        <is>
          <t>ANEBY</t>
        </is>
      </c>
      <c r="I106" t="n">
        <v>10.1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46225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16.8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46051</v>
      </c>
      <c r="E108" s="1" t="n">
        <v>46225</v>
      </c>
      <c r="F108" t="inlineStr">
        <is>
          <t>JÖNKÖPINGS LÄN</t>
        </is>
      </c>
      <c r="G108" t="inlineStr">
        <is>
          <t>ANEBY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21026-2024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45439</v>
      </c>
      <c r="E109" s="1" t="n">
        <v>46225</v>
      </c>
      <c r="F109" t="inlineStr">
        <is>
          <t>JÖNKÖPINGS LÄN</t>
        </is>
      </c>
      <c r="G109" t="inlineStr">
        <is>
          <t>ANEBY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46056</v>
      </c>
      <c r="E110" s="1" t="n">
        <v>46225</v>
      </c>
      <c r="F110" t="inlineStr">
        <is>
          <t>JÖNKÖPINGS LÄN</t>
        </is>
      </c>
      <c r="G110" t="inlineStr">
        <is>
          <t>ANEBY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6827-2026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46057</v>
      </c>
      <c r="E111" s="1" t="n">
        <v>46225</v>
      </c>
      <c r="F111" t="inlineStr">
        <is>
          <t>JÖNKÖPINGS LÄN</t>
        </is>
      </c>
      <c r="G111" t="inlineStr">
        <is>
          <t>ANEBY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7266-2026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46058</v>
      </c>
      <c r="E112" s="1" t="n">
        <v>46225</v>
      </c>
      <c r="F112" t="inlineStr">
        <is>
          <t>JÖNKÖPINGS LÄN</t>
        </is>
      </c>
      <c r="G112" t="inlineStr">
        <is>
          <t>ANEBY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7263-2026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46058</v>
      </c>
      <c r="E113" s="1" t="n">
        <v>46225</v>
      </c>
      <c r="F113" t="inlineStr">
        <is>
          <t>JÖNKÖPINGS LÄN</t>
        </is>
      </c>
      <c r="G113" t="inlineStr">
        <is>
          <t>ANEBY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46225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46057</v>
      </c>
      <c r="E115" s="1" t="n">
        <v>46225</v>
      </c>
      <c r="F115" t="inlineStr">
        <is>
          <t>JÖNKÖPINGS LÄN</t>
        </is>
      </c>
      <c r="G115" t="inlineStr">
        <is>
          <t>ANEBY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46225</v>
      </c>
      <c r="F116" t="inlineStr">
        <is>
          <t>JÖNKÖPINGS LÄN</t>
        </is>
      </c>
      <c r="G116" t="inlineStr">
        <is>
          <t>ANEBY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46030</v>
      </c>
      <c r="E117" s="1" t="n">
        <v>46225</v>
      </c>
      <c r="F117" t="inlineStr">
        <is>
          <t>JÖNKÖPINGS LÄN</t>
        </is>
      </c>
      <c r="G117" t="inlineStr">
        <is>
          <t>ANEBY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46225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46225</v>
      </c>
      <c r="F119" t="inlineStr">
        <is>
          <t>JÖNKÖPINGS LÄN</t>
        </is>
      </c>
      <c r="G119" t="inlineStr">
        <is>
          <t>ANEBY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45838</v>
      </c>
      <c r="E120" s="1" t="n">
        <v>46225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46064</v>
      </c>
      <c r="E121" s="1" t="n">
        <v>46225</v>
      </c>
      <c r="F121" t="inlineStr">
        <is>
          <t>JÖNKÖPINGS LÄN</t>
        </is>
      </c>
      <c r="G121" t="inlineStr">
        <is>
          <t>ANEBY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46225</v>
      </c>
      <c r="F122" t="inlineStr">
        <is>
          <t>JÖNKÖPINGS LÄN</t>
        </is>
      </c>
      <c r="G122" t="inlineStr">
        <is>
          <t>ANEBY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45275</v>
      </c>
      <c r="E123" s="1" t="n">
        <v>46225</v>
      </c>
      <c r="F123" t="inlineStr">
        <is>
          <t>JÖNKÖPINGS LÄN</t>
        </is>
      </c>
      <c r="G123" t="inlineStr">
        <is>
          <t>ANEBY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46225</v>
      </c>
      <c r="F124" t="inlineStr">
        <is>
          <t>JÖNKÖPINGS LÄN</t>
        </is>
      </c>
      <c r="G124" t="inlineStr">
        <is>
          <t>ANEBY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46225</v>
      </c>
      <c r="F125" t="inlineStr">
        <is>
          <t>JÖNKÖPINGS LÄN</t>
        </is>
      </c>
      <c r="G125" t="inlineStr">
        <is>
          <t>ANEBY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45467</v>
      </c>
      <c r="E126" s="1" t="n">
        <v>46225</v>
      </c>
      <c r="F126" t="inlineStr">
        <is>
          <t>JÖNKÖPINGS LÄN</t>
        </is>
      </c>
      <c r="G126" t="inlineStr">
        <is>
          <t>ANEBY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  <c r="Z126">
        <f>HYPERLINK("https://klasma.github.io/Logging_0604/knärot/A 25963-2024 karta knärot.png", "A 25963-2024")</f>
        <v/>
      </c>
      <c r="AA126">
        <f>HYPERLINK("https://klasma.github.io/Logging_0604/klagomål/A 25963-2024 FSC-klagomål.docx", "A 25963-2024")</f>
        <v/>
      </c>
      <c r="AB126">
        <f>HYPERLINK("https://klasma.github.io/Logging_0604/klagomålsmail/A 25963-2024 FSC-klagomål mail.docx", "A 25963-2024")</f>
        <v/>
      </c>
      <c r="AC126">
        <f>HYPERLINK("https://klasma.github.io/Logging_0604/tillsyn/A 25963-2024 tillsynsbegäran.docx", "A 25963-2024")</f>
        <v/>
      </c>
      <c r="AD126">
        <f>HYPERLINK("https://klasma.github.io/Logging_0604/tillsynsmail/A 25963-2024 tillsynsbegäran mail.docx", "A 25963-2024")</f>
        <v/>
      </c>
    </row>
    <row r="127" ht="15" customHeight="1">
      <c r="A127" t="inlineStr">
        <is>
          <t>A 43757-2025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46225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46225</v>
      </c>
      <c r="F128" t="inlineStr">
        <is>
          <t>JÖNKÖPINGS LÄN</t>
        </is>
      </c>
      <c r="G128" t="inlineStr">
        <is>
          <t>ANEBY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46225</v>
      </c>
      <c r="F129" t="inlineStr">
        <is>
          <t>JÖNKÖPINGS LÄN</t>
        </is>
      </c>
      <c r="G129" t="inlineStr">
        <is>
          <t>ANEBY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46225</v>
      </c>
      <c r="F130" t="inlineStr">
        <is>
          <t>JÖNKÖPINGS LÄN</t>
        </is>
      </c>
      <c r="G130" t="inlineStr">
        <is>
          <t>ANEBY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43528-2025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45911</v>
      </c>
      <c r="E131" s="1" t="n">
        <v>46225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46076</v>
      </c>
      <c r="E132" s="1" t="n">
        <v>46225</v>
      </c>
      <c r="F132" t="inlineStr">
        <is>
          <t>JÖNKÖPINGS LÄN</t>
        </is>
      </c>
      <c r="G132" t="inlineStr">
        <is>
          <t>ANEBY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37343-2023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45156</v>
      </c>
      <c r="E133" s="1" t="n">
        <v>46225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46073</v>
      </c>
      <c r="E134" s="1" t="n">
        <v>46225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46225</v>
      </c>
      <c r="F135" t="inlineStr">
        <is>
          <t>JÖNKÖPINGS LÄN</t>
        </is>
      </c>
      <c r="G135" t="inlineStr">
        <is>
          <t>ANEBY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46225</v>
      </c>
      <c r="F136" t="inlineStr">
        <is>
          <t>JÖNKÖPINGS LÄN</t>
        </is>
      </c>
      <c r="G136" t="inlineStr">
        <is>
          <t>ANEBY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46225</v>
      </c>
      <c r="F137" t="inlineStr">
        <is>
          <t>JÖNKÖPINGS LÄN</t>
        </is>
      </c>
      <c r="G137" t="inlineStr">
        <is>
          <t>ANEBY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46225</v>
      </c>
      <c r="F138" t="inlineStr">
        <is>
          <t>JÖNKÖPINGS LÄN</t>
        </is>
      </c>
      <c r="G138" t="inlineStr">
        <is>
          <t>ANEBY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46225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46225</v>
      </c>
      <c r="F140" t="inlineStr">
        <is>
          <t>JÖNKÖPINGS LÄN</t>
        </is>
      </c>
      <c r="G140" t="inlineStr">
        <is>
          <t>ANEBY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46225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20.7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45539</v>
      </c>
      <c r="E142" s="1" t="n">
        <v>46225</v>
      </c>
      <c r="F142" t="inlineStr">
        <is>
          <t>JÖNKÖPINGS LÄN</t>
        </is>
      </c>
      <c r="G142" t="inlineStr">
        <is>
          <t>ANEBY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14824-2026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46104</v>
      </c>
      <c r="E143" s="1" t="n">
        <v>46225</v>
      </c>
      <c r="F143" t="inlineStr">
        <is>
          <t>JÖNKÖPINGS LÄN</t>
        </is>
      </c>
      <c r="G143" t="inlineStr">
        <is>
          <t>ANEBY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73166-2021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46225</v>
      </c>
      <c r="F144" t="inlineStr">
        <is>
          <t>JÖNKÖPINGS LÄN</t>
        </is>
      </c>
      <c r="G144" t="inlineStr">
        <is>
          <t>ANEBY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46225</v>
      </c>
      <c r="F145" t="inlineStr">
        <is>
          <t>JÖNKÖPINGS LÄN</t>
        </is>
      </c>
      <c r="G145" t="inlineStr">
        <is>
          <t>ANEBY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46225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46225</v>
      </c>
      <c r="F147" t="inlineStr">
        <is>
          <t>JÖNKÖPINGS LÄN</t>
        </is>
      </c>
      <c r="G147" t="inlineStr">
        <is>
          <t>ANEBY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46225</v>
      </c>
      <c r="F148" t="inlineStr">
        <is>
          <t>JÖNKÖPINGS LÄN</t>
        </is>
      </c>
      <c r="G148" t="inlineStr">
        <is>
          <t>ANEBY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46225</v>
      </c>
      <c r="F149" t="inlineStr">
        <is>
          <t>JÖNKÖPINGS LÄN</t>
        </is>
      </c>
      <c r="G149" t="inlineStr">
        <is>
          <t>ANEBY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27714-2024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45475</v>
      </c>
      <c r="E150" s="1" t="n">
        <v>46225</v>
      </c>
      <c r="F150" t="inlineStr">
        <is>
          <t>JÖNKÖPINGS LÄN</t>
        </is>
      </c>
      <c r="G150" t="inlineStr">
        <is>
          <t>ANEBY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45951</v>
      </c>
      <c r="E151" s="1" t="n">
        <v>46225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21355-2022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46225</v>
      </c>
      <c r="F152" t="inlineStr">
        <is>
          <t>JÖNKÖPINGS LÄN</t>
        </is>
      </c>
      <c r="G152" t="inlineStr">
        <is>
          <t>ANEBY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46225</v>
      </c>
      <c r="F153" t="inlineStr">
        <is>
          <t>JÖNKÖPINGS LÄN</t>
        </is>
      </c>
      <c r="G153" t="inlineStr">
        <is>
          <t>ANEBY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46225</v>
      </c>
      <c r="F154" t="inlineStr">
        <is>
          <t>JÖNKÖPINGS LÄN</t>
        </is>
      </c>
      <c r="G154" t="inlineStr">
        <is>
          <t>ANEBY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49398-2022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44859</v>
      </c>
      <c r="E155" s="1" t="n">
        <v>46225</v>
      </c>
      <c r="F155" t="inlineStr">
        <is>
          <t>JÖNKÖPINGS LÄN</t>
        </is>
      </c>
      <c r="G155" t="inlineStr">
        <is>
          <t>ANEBY</t>
        </is>
      </c>
      <c r="H155" t="inlineStr">
        <is>
          <t>Övriga Aktiebolag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46225</v>
      </c>
      <c r="F156" t="inlineStr">
        <is>
          <t>JÖNKÖPINGS LÄN</t>
        </is>
      </c>
      <c r="G156" t="inlineStr">
        <is>
          <t>ANEBY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18147-2026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46125</v>
      </c>
      <c r="E157" s="1" t="n">
        <v>46225</v>
      </c>
      <c r="F157" t="inlineStr">
        <is>
          <t>JÖNKÖPINGS LÄN</t>
        </is>
      </c>
      <c r="G157" t="inlineStr">
        <is>
          <t>ANEBY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46125</v>
      </c>
      <c r="E158" s="1" t="n">
        <v>46225</v>
      </c>
      <c r="F158" t="inlineStr">
        <is>
          <t>JÖNKÖPINGS LÄN</t>
        </is>
      </c>
      <c r="G158" t="inlineStr">
        <is>
          <t>ANEBY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12477-2023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44999</v>
      </c>
      <c r="E159" s="1" t="n">
        <v>46225</v>
      </c>
      <c r="F159" t="inlineStr">
        <is>
          <t>JÖNKÖPINGS LÄN</t>
        </is>
      </c>
      <c r="G159" t="inlineStr">
        <is>
          <t>ANEBY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46126</v>
      </c>
      <c r="E160" s="1" t="n">
        <v>46225</v>
      </c>
      <c r="F160" t="inlineStr">
        <is>
          <t>JÖNKÖPINGS LÄN</t>
        </is>
      </c>
      <c r="G160" t="inlineStr">
        <is>
          <t>ANEBY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46225</v>
      </c>
      <c r="F161" t="inlineStr">
        <is>
          <t>JÖNKÖPINGS LÄN</t>
        </is>
      </c>
      <c r="G161" t="inlineStr">
        <is>
          <t>ANEBY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46225</v>
      </c>
      <c r="F162" t="inlineStr">
        <is>
          <t>JÖNKÖPINGS LÄN</t>
        </is>
      </c>
      <c r="G162" t="inlineStr">
        <is>
          <t>ANEBY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46225</v>
      </c>
      <c r="F163" t="inlineStr">
        <is>
          <t>JÖNKÖPINGS LÄN</t>
        </is>
      </c>
      <c r="G163" t="inlineStr">
        <is>
          <t>ANEBY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46225</v>
      </c>
      <c r="F164" t="inlineStr">
        <is>
          <t>JÖNKÖPINGS LÄN</t>
        </is>
      </c>
      <c r="G164" t="inlineStr">
        <is>
          <t>ANEBY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45978</v>
      </c>
      <c r="E165" s="1" t="n">
        <v>46225</v>
      </c>
      <c r="F165" t="inlineStr">
        <is>
          <t>JÖNKÖPINGS LÄN</t>
        </is>
      </c>
      <c r="G165" t="inlineStr">
        <is>
          <t>ANEBY</t>
        </is>
      </c>
      <c r="H165" t="inlineStr">
        <is>
          <t>Övriga Aktiebolag</t>
        </is>
      </c>
      <c r="I165" t="n">
        <v>19.6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46225</v>
      </c>
      <c r="F166" t="inlineStr">
        <is>
          <t>JÖNKÖPINGS LÄN</t>
        </is>
      </c>
      <c r="G166" t="inlineStr">
        <is>
          <t>ANEBY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46225</v>
      </c>
      <c r="F167" t="inlineStr">
        <is>
          <t>JÖNKÖPINGS LÄN</t>
        </is>
      </c>
      <c r="G167" t="inlineStr">
        <is>
          <t>ANEBY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46225</v>
      </c>
      <c r="F168" t="inlineStr">
        <is>
          <t>JÖNKÖPINGS LÄN</t>
        </is>
      </c>
      <c r="G168" t="inlineStr">
        <is>
          <t>ANEBY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45982</v>
      </c>
      <c r="E169" s="1" t="n">
        <v>46225</v>
      </c>
      <c r="F169" t="inlineStr">
        <is>
          <t>JÖNKÖPINGS LÄN</t>
        </is>
      </c>
      <c r="G169" t="inlineStr">
        <is>
          <t>ANEBY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46225</v>
      </c>
      <c r="F170" t="inlineStr">
        <is>
          <t>JÖNKÖPINGS LÄN</t>
        </is>
      </c>
      <c r="G170" t="inlineStr">
        <is>
          <t>ANEBY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45924</v>
      </c>
      <c r="E171" s="1" t="n">
        <v>46225</v>
      </c>
      <c r="F171" t="inlineStr">
        <is>
          <t>JÖNKÖPINGS LÄN</t>
        </is>
      </c>
      <c r="G171" t="inlineStr">
        <is>
          <t>ANEBY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46225</v>
      </c>
      <c r="F172" t="inlineStr">
        <is>
          <t>JÖNKÖPINGS LÄN</t>
        </is>
      </c>
      <c r="G172" t="inlineStr">
        <is>
          <t>ANEBY</t>
        </is>
      </c>
      <c r="H172" t="inlineStr">
        <is>
          <t>Sveaskog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45993</v>
      </c>
      <c r="E173" s="1" t="n">
        <v>46225</v>
      </c>
      <c r="F173" t="inlineStr">
        <is>
          <t>JÖNKÖPINGS LÄN</t>
        </is>
      </c>
      <c r="G173" t="inlineStr">
        <is>
          <t>ANEBY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46225</v>
      </c>
      <c r="F174" t="inlineStr">
        <is>
          <t>JÖNKÖPINGS LÄN</t>
        </is>
      </c>
      <c r="G174" t="inlineStr">
        <is>
          <t>ANEBY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46225</v>
      </c>
      <c r="F175" t="inlineStr">
        <is>
          <t>JÖNKÖPINGS LÄN</t>
        </is>
      </c>
      <c r="G175" t="inlineStr">
        <is>
          <t>ANEBY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46225</v>
      </c>
      <c r="F176" t="inlineStr">
        <is>
          <t>JÖNKÖPINGS LÄN</t>
        </is>
      </c>
      <c r="G176" t="inlineStr">
        <is>
          <t>ANEBY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46225</v>
      </c>
      <c r="F177" t="inlineStr">
        <is>
          <t>JÖNKÖPINGS LÄN</t>
        </is>
      </c>
      <c r="G177" t="inlineStr">
        <is>
          <t>ANEBY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46006</v>
      </c>
      <c r="E178" s="1" t="n">
        <v>46225</v>
      </c>
      <c r="F178" t="inlineStr">
        <is>
          <t>JÖNKÖPINGS LÄN</t>
        </is>
      </c>
      <c r="G178" t="inlineStr">
        <is>
          <t>ANEBY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45009</v>
      </c>
      <c r="E179" s="1" t="n">
        <v>46225</v>
      </c>
      <c r="F179" t="inlineStr">
        <is>
          <t>JÖNKÖPINGS LÄN</t>
        </is>
      </c>
      <c r="G179" t="inlineStr">
        <is>
          <t>ANEBY</t>
        </is>
      </c>
      <c r="I179" t="n">
        <v>13.8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46225</v>
      </c>
      <c r="F180" t="inlineStr">
        <is>
          <t>JÖNKÖPINGS LÄN</t>
        </is>
      </c>
      <c r="G180" t="inlineStr">
        <is>
          <t>ANEBY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63901-2025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46020</v>
      </c>
      <c r="E181" s="1" t="n">
        <v>46225</v>
      </c>
      <c r="F181" t="inlineStr">
        <is>
          <t>JÖNKÖPINGS LÄN</t>
        </is>
      </c>
      <c r="G181" t="inlineStr">
        <is>
          <t>ANEBY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46021</v>
      </c>
      <c r="E182" s="1" t="n">
        <v>46225</v>
      </c>
      <c r="F182" t="inlineStr">
        <is>
          <t>JÖNKÖPINGS LÄN</t>
        </is>
      </c>
      <c r="G182" t="inlineStr">
        <is>
          <t>ANEBY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46225</v>
      </c>
      <c r="F183" t="inlineStr">
        <is>
          <t>JÖNKÖPINGS LÄN</t>
        </is>
      </c>
      <c r="G183" t="inlineStr">
        <is>
          <t>ANEBY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46225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18.6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46225</v>
      </c>
      <c r="F185" t="inlineStr">
        <is>
          <t>JÖNKÖPINGS LÄN</t>
        </is>
      </c>
      <c r="G185" t="inlineStr">
        <is>
          <t>ANEBY</t>
        </is>
      </c>
      <c r="H185" t="inlineStr">
        <is>
          <t>Övriga Aktiebolag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46184</v>
      </c>
      <c r="E186" s="1" t="n">
        <v>46225</v>
      </c>
      <c r="F186" t="inlineStr">
        <is>
          <t>JÖNKÖPINGS LÄN</t>
        </is>
      </c>
      <c r="G186" t="inlineStr">
        <is>
          <t>ANEBY</t>
        </is>
      </c>
      <c r="H186" t="inlineStr">
        <is>
          <t>Övriga Aktiebolag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45357</v>
      </c>
      <c r="E187" s="1" t="n">
        <v>46225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11565-2025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45727</v>
      </c>
      <c r="E188" s="1" t="n">
        <v>46225</v>
      </c>
      <c r="F188" t="inlineStr">
        <is>
          <t>JÖNKÖPINGS LÄN</t>
        </is>
      </c>
      <c r="G188" t="inlineStr">
        <is>
          <t>ANEBY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27356-2026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46225</v>
      </c>
      <c r="F189" t="inlineStr">
        <is>
          <t>JÖNKÖPINGS LÄN</t>
        </is>
      </c>
      <c r="G189" t="inlineStr">
        <is>
          <t>ANEBY</t>
        </is>
      </c>
      <c r="I189" t="n">
        <v>17.9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21356-2026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46147</v>
      </c>
      <c r="E190" s="1" t="n">
        <v>46225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44966</v>
      </c>
      <c r="E191" s="1" t="n">
        <v>46225</v>
      </c>
      <c r="F191" t="inlineStr">
        <is>
          <t>JÖNKÖPINGS LÄN</t>
        </is>
      </c>
      <c r="G191" t="inlineStr">
        <is>
          <t>ANEBY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46225</v>
      </c>
      <c r="F192" t="inlineStr">
        <is>
          <t>JÖNKÖPINGS LÄN</t>
        </is>
      </c>
      <c r="G192" t="inlineStr">
        <is>
          <t>ANEBY</t>
        </is>
      </c>
      <c r="H192" t="inlineStr">
        <is>
          <t>Övriga Aktiebolag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45034</v>
      </c>
      <c r="E193" s="1" t="n">
        <v>46225</v>
      </c>
      <c r="F193" t="inlineStr">
        <is>
          <t>JÖNKÖPINGS LÄN</t>
        </is>
      </c>
      <c r="G193" t="inlineStr">
        <is>
          <t>ANEBY</t>
        </is>
      </c>
      <c r="H193" t="inlineStr">
        <is>
          <t>Kyrkan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46225</v>
      </c>
      <c r="F194" t="inlineStr">
        <is>
          <t>JÖNKÖPINGS LÄN</t>
        </is>
      </c>
      <c r="G194" t="inlineStr">
        <is>
          <t>ANEBY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46225</v>
      </c>
      <c r="F195" t="inlineStr">
        <is>
          <t>JÖNKÖPINGS LÄN</t>
        </is>
      </c>
      <c r="G195" t="inlineStr">
        <is>
          <t>ANEBY</t>
        </is>
      </c>
      <c r="H195" t="inlineStr">
        <is>
          <t>Övriga Aktiebolag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46185</v>
      </c>
      <c r="E196" s="1" t="n">
        <v>46225</v>
      </c>
      <c r="F196" t="inlineStr">
        <is>
          <t>JÖNKÖPINGS LÄN</t>
        </is>
      </c>
      <c r="G196" t="inlineStr">
        <is>
          <t>ANEBY</t>
        </is>
      </c>
      <c r="H196" t="inlineStr">
        <is>
          <t>Övriga Aktiebolag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45359</v>
      </c>
      <c r="E197" s="1" t="n">
        <v>46225</v>
      </c>
      <c r="F197" t="inlineStr">
        <is>
          <t>JÖNKÖPINGS LÄN</t>
        </is>
      </c>
      <c r="G197" t="inlineStr">
        <is>
          <t>ANEBY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45020</v>
      </c>
      <c r="E198" s="1" t="n">
        <v>46225</v>
      </c>
      <c r="F198" t="inlineStr">
        <is>
          <t>JÖNKÖPINGS LÄN</t>
        </is>
      </c>
      <c r="G198" t="inlineStr">
        <is>
          <t>ANEBY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27528-2026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46225</v>
      </c>
      <c r="F199" t="inlineStr">
        <is>
          <t>JÖNKÖPINGS LÄN</t>
        </is>
      </c>
      <c r="G199" t="inlineStr">
        <is>
          <t>ANEBY</t>
        </is>
      </c>
      <c r="H199" t="inlineStr">
        <is>
          <t>Övriga Aktiebolag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46225</v>
      </c>
      <c r="F200" t="inlineStr">
        <is>
          <t>JÖNKÖPINGS LÄN</t>
        </is>
      </c>
      <c r="G200" t="inlineStr">
        <is>
          <t>ANEBY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44851</v>
      </c>
      <c r="E201" s="1" t="n">
        <v>46225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45357</v>
      </c>
      <c r="E202" s="1" t="n">
        <v>46225</v>
      </c>
      <c r="F202" t="inlineStr">
        <is>
          <t>JÖNKÖPINGS LÄN</t>
        </is>
      </c>
      <c r="G202" t="inlineStr">
        <is>
          <t>ANEBY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45357</v>
      </c>
      <c r="E203" s="1" t="n">
        <v>46225</v>
      </c>
      <c r="F203" t="inlineStr">
        <is>
          <t>JÖNKÖPINGS LÄN</t>
        </is>
      </c>
      <c r="G203" t="inlineStr">
        <is>
          <t>ANEBY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46225</v>
      </c>
      <c r="F204" t="inlineStr">
        <is>
          <t>JÖNKÖPINGS LÄN</t>
        </is>
      </c>
      <c r="G204" t="inlineStr">
        <is>
          <t>ANEBY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45468</v>
      </c>
      <c r="E205" s="1" t="n">
        <v>46225</v>
      </c>
      <c r="F205" t="inlineStr">
        <is>
          <t>JÖNKÖPINGS LÄN</t>
        </is>
      </c>
      <c r="G205" t="inlineStr">
        <is>
          <t>ANEBY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46195</v>
      </c>
      <c r="E206" s="1" t="n">
        <v>46225</v>
      </c>
      <c r="F206" t="inlineStr">
        <is>
          <t>JÖNKÖPINGS LÄN</t>
        </is>
      </c>
      <c r="G206" t="inlineStr">
        <is>
          <t>ANEBY</t>
        </is>
      </c>
      <c r="H206" t="inlineStr">
        <is>
          <t>Kyrkan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46195</v>
      </c>
      <c r="E207" s="1" t="n">
        <v>46225</v>
      </c>
      <c r="F207" t="inlineStr">
        <is>
          <t>JÖNKÖPINGS LÄN</t>
        </is>
      </c>
      <c r="G207" t="inlineStr">
        <is>
          <t>ANEBY</t>
        </is>
      </c>
      <c r="H207" t="inlineStr">
        <is>
          <t>Kyrkan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45645</v>
      </c>
      <c r="E208" s="1" t="n">
        <v>46225</v>
      </c>
      <c r="F208" t="inlineStr">
        <is>
          <t>JÖNKÖPINGS LÄN</t>
        </is>
      </c>
      <c r="G208" t="inlineStr">
        <is>
          <t>ANEBY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45141</v>
      </c>
      <c r="E209" s="1" t="n">
        <v>46225</v>
      </c>
      <c r="F209" t="inlineStr">
        <is>
          <t>JÖNKÖPINGS LÄN</t>
        </is>
      </c>
      <c r="G209" t="inlineStr">
        <is>
          <t>ANEBY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37708-2023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45159</v>
      </c>
      <c r="E210" s="1" t="n">
        <v>46225</v>
      </c>
      <c r="F210" t="inlineStr">
        <is>
          <t>JÖNKÖPINGS LÄN</t>
        </is>
      </c>
      <c r="G210" t="inlineStr">
        <is>
          <t>ANEBY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46225</v>
      </c>
      <c r="F211" t="inlineStr">
        <is>
          <t>JÖNKÖPINGS LÄN</t>
        </is>
      </c>
      <c r="G211" t="inlineStr">
        <is>
          <t>ANEBY</t>
        </is>
      </c>
      <c r="H211" t="inlineStr">
        <is>
          <t>Kyrkan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45552</v>
      </c>
      <c r="E212" s="1" t="n">
        <v>46225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46225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43613-2023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45184</v>
      </c>
      <c r="E214" s="1" t="n">
        <v>46225</v>
      </c>
      <c r="F214" t="inlineStr">
        <is>
          <t>JÖNKÖPINGS LÄN</t>
        </is>
      </c>
      <c r="G214" t="inlineStr">
        <is>
          <t>ANEBY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57174-2021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44482</v>
      </c>
      <c r="E215" s="1" t="n">
        <v>46225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23349-2023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45076</v>
      </c>
      <c r="E216" s="1" t="n">
        <v>46225</v>
      </c>
      <c r="F216" t="inlineStr">
        <is>
          <t>JÖNKÖPINGS LÄN</t>
        </is>
      </c>
      <c r="G216" t="inlineStr">
        <is>
          <t>ANEBY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46225</v>
      </c>
      <c r="F217" t="inlineStr">
        <is>
          <t>JÖNKÖPINGS LÄN</t>
        </is>
      </c>
      <c r="G217" t="inlineStr">
        <is>
          <t>ANEBY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45198</v>
      </c>
      <c r="E218" s="1" t="n">
        <v>46225</v>
      </c>
      <c r="F218" t="inlineStr">
        <is>
          <t>JÖNKÖPINGS LÄN</t>
        </is>
      </c>
      <c r="G218" t="inlineStr">
        <is>
          <t>ANEBY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45028</v>
      </c>
      <c r="E219" s="1" t="n">
        <v>46225</v>
      </c>
      <c r="F219" t="inlineStr">
        <is>
          <t>JÖNKÖPINGS LÄN</t>
        </is>
      </c>
      <c r="G219" t="inlineStr">
        <is>
          <t>ANEBY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46225</v>
      </c>
      <c r="F220" t="inlineStr">
        <is>
          <t>JÖNKÖPINGS LÄN</t>
        </is>
      </c>
      <c r="G220" t="inlineStr">
        <is>
          <t>ANEBY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45653</v>
      </c>
      <c r="E221" s="1" t="n">
        <v>46225</v>
      </c>
      <c r="F221" t="inlineStr">
        <is>
          <t>JÖNKÖPINGS LÄN</t>
        </is>
      </c>
      <c r="G221" t="inlineStr">
        <is>
          <t>ANEBY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45691</v>
      </c>
      <c r="E222" s="1" t="n">
        <v>46225</v>
      </c>
      <c r="F222" t="inlineStr">
        <is>
          <t>JÖNKÖPINGS LÄN</t>
        </is>
      </c>
      <c r="G222" t="inlineStr">
        <is>
          <t>ANEBY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56020-2021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44477</v>
      </c>
      <c r="E223" s="1" t="n">
        <v>46225</v>
      </c>
      <c r="F223" t="inlineStr">
        <is>
          <t>JÖNKÖPINGS LÄN</t>
        </is>
      </c>
      <c r="G223" t="inlineStr">
        <is>
          <t>ANEBY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45033</v>
      </c>
      <c r="E224" s="1" t="n">
        <v>46225</v>
      </c>
      <c r="F224" t="inlineStr">
        <is>
          <t>JÖNKÖPINGS LÄN</t>
        </is>
      </c>
      <c r="G224" t="inlineStr">
        <is>
          <t>ANEBY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45772</v>
      </c>
      <c r="E225" s="1" t="n">
        <v>46225</v>
      </c>
      <c r="F225" t="inlineStr">
        <is>
          <t>JÖNKÖPINGS LÄN</t>
        </is>
      </c>
      <c r="G225" t="inlineStr">
        <is>
          <t>ANEBY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46167</v>
      </c>
      <c r="E226" s="1" t="n">
        <v>46225</v>
      </c>
      <c r="F226" t="inlineStr">
        <is>
          <t>JÖNKÖPINGS LÄN</t>
        </is>
      </c>
      <c r="G226" t="inlineStr">
        <is>
          <t>ANEBY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45769</v>
      </c>
      <c r="E227" s="1" t="n">
        <v>46225</v>
      </c>
      <c r="F227" t="inlineStr">
        <is>
          <t>JÖNKÖPINGS LÄN</t>
        </is>
      </c>
      <c r="G227" t="inlineStr">
        <is>
          <t>ANEBY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46225</v>
      </c>
      <c r="F228" t="inlineStr">
        <is>
          <t>JÖNKÖPINGS LÄN</t>
        </is>
      </c>
      <c r="G228" t="inlineStr">
        <is>
          <t>ANEBY</t>
        </is>
      </c>
      <c r="H228" t="inlineStr">
        <is>
          <t>Sveaskog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46225</v>
      </c>
      <c r="F229" t="inlineStr">
        <is>
          <t>JÖNKÖPINGS LÄN</t>
        </is>
      </c>
      <c r="G229" t="inlineStr">
        <is>
          <t>ANEBY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46225</v>
      </c>
      <c r="F230" t="inlineStr">
        <is>
          <t>JÖNKÖPINGS LÄN</t>
        </is>
      </c>
      <c r="G230" t="inlineStr">
        <is>
          <t>ANEBY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23354-2023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45076</v>
      </c>
      <c r="E231" s="1" t="n">
        <v>46225</v>
      </c>
      <c r="F231" t="inlineStr">
        <is>
          <t>JÖNKÖPINGS LÄN</t>
        </is>
      </c>
      <c r="G231" t="inlineStr">
        <is>
          <t>ANEBY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46170</v>
      </c>
      <c r="E232" s="1" t="n">
        <v>46225</v>
      </c>
      <c r="F232" t="inlineStr">
        <is>
          <t>JÖNKÖPINGS LÄN</t>
        </is>
      </c>
      <c r="G232" t="inlineStr">
        <is>
          <t>ANEBY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45028</v>
      </c>
      <c r="E233" s="1" t="n">
        <v>46225</v>
      </c>
      <c r="F233" t="inlineStr">
        <is>
          <t>JÖNKÖPINGS LÄN</t>
        </is>
      </c>
      <c r="G233" t="inlineStr">
        <is>
          <t>ANEBY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46214</v>
      </c>
      <c r="E234" s="1" t="n">
        <v>46225</v>
      </c>
      <c r="F234" t="inlineStr">
        <is>
          <t>JÖNKÖPINGS LÄN</t>
        </is>
      </c>
      <c r="G234" t="inlineStr">
        <is>
          <t>ANEBY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31044-2026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46214</v>
      </c>
      <c r="E235" s="1" t="n">
        <v>46225</v>
      </c>
      <c r="F235" t="inlineStr">
        <is>
          <t>JÖNKÖPINGS LÄN</t>
        </is>
      </c>
      <c r="G235" t="inlineStr">
        <is>
          <t>ANEBY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46214</v>
      </c>
      <c r="E236" s="1" t="n">
        <v>46225</v>
      </c>
      <c r="F236" t="inlineStr">
        <is>
          <t>JÖNKÖPINGS LÄN</t>
        </is>
      </c>
      <c r="G236" t="inlineStr">
        <is>
          <t>ANEBY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46171</v>
      </c>
      <c r="E237" s="1" t="n">
        <v>46225</v>
      </c>
      <c r="F237" t="inlineStr">
        <is>
          <t>JÖNKÖPINGS LÄN</t>
        </is>
      </c>
      <c r="G237" t="inlineStr">
        <is>
          <t>ANEBY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45086</v>
      </c>
      <c r="E238" s="1" t="n">
        <v>46225</v>
      </c>
      <c r="F238" t="inlineStr">
        <is>
          <t>JÖNKÖPINGS LÄN</t>
        </is>
      </c>
      <c r="G238" t="inlineStr">
        <is>
          <t>ANEBY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46225</v>
      </c>
      <c r="F239" t="inlineStr">
        <is>
          <t>JÖNKÖPINGS LÄN</t>
        </is>
      </c>
      <c r="G239" t="inlineStr">
        <is>
          <t>ANEBY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25897-2026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46225</v>
      </c>
      <c r="F240" t="inlineStr">
        <is>
          <t>JÖNKÖPINGS LÄN</t>
        </is>
      </c>
      <c r="G240" t="inlineStr">
        <is>
          <t>ANEBY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46225</v>
      </c>
      <c r="F241" t="inlineStr">
        <is>
          <t>JÖNKÖPINGS LÄN</t>
        </is>
      </c>
      <c r="G241" t="inlineStr">
        <is>
          <t>ANEBY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51185-2021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44461</v>
      </c>
      <c r="E242" s="1" t="n">
        <v>46225</v>
      </c>
      <c r="F242" t="inlineStr">
        <is>
          <t>JÖNKÖPINGS LÄN</t>
        </is>
      </c>
      <c r="G242" t="inlineStr">
        <is>
          <t>ANEBY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25513-2023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45089</v>
      </c>
      <c r="E243" s="1" t="n">
        <v>46225</v>
      </c>
      <c r="F243" t="inlineStr">
        <is>
          <t>JÖNKÖPINGS LÄN</t>
        </is>
      </c>
      <c r="G243" t="inlineStr">
        <is>
          <t>ANEBY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45183</v>
      </c>
      <c r="E244" s="1" t="n">
        <v>46225</v>
      </c>
      <c r="F244" t="inlineStr">
        <is>
          <t>JÖNKÖPINGS LÄN</t>
        </is>
      </c>
      <c r="G244" t="inlineStr">
        <is>
          <t>ANEBY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45110</v>
      </c>
      <c r="E245" s="1" t="n">
        <v>46225</v>
      </c>
      <c r="F245" t="inlineStr">
        <is>
          <t>JÖNKÖPINGS LÄN</t>
        </is>
      </c>
      <c r="G245" t="inlineStr">
        <is>
          <t>ANEBY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45007</v>
      </c>
      <c r="E246" s="1" t="n">
        <v>46225</v>
      </c>
      <c r="F246" t="inlineStr">
        <is>
          <t>JÖNKÖPINGS LÄN</t>
        </is>
      </c>
      <c r="G246" t="inlineStr">
        <is>
          <t>ANEBY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12655-2024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45384</v>
      </c>
      <c r="E247" s="1" t="n">
        <v>46225</v>
      </c>
      <c r="F247" t="inlineStr">
        <is>
          <t>JÖNKÖPINGS LÄN</t>
        </is>
      </c>
      <c r="G247" t="inlineStr">
        <is>
          <t>ANEBY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59507-2022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44900</v>
      </c>
      <c r="E248" s="1" t="n">
        <v>46225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46225</v>
      </c>
      <c r="F249" t="inlineStr">
        <is>
          <t>JÖNKÖPINGS LÄN</t>
        </is>
      </c>
      <c r="G249" t="inlineStr">
        <is>
          <t>ANEBY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46225</v>
      </c>
      <c r="F250" t="inlineStr">
        <is>
          <t>JÖNKÖPINGS LÄN</t>
        </is>
      </c>
      <c r="G250" t="inlineStr">
        <is>
          <t>ANEBY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56735-2021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44481</v>
      </c>
      <c r="E251" s="1" t="n">
        <v>46225</v>
      </c>
      <c r="F251" t="inlineStr">
        <is>
          <t>JÖNKÖPINGS LÄN</t>
        </is>
      </c>
      <c r="G251" t="inlineStr">
        <is>
          <t>ANEBY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46225</v>
      </c>
      <c r="F252" t="inlineStr">
        <is>
          <t>JÖNKÖPINGS LÄN</t>
        </is>
      </c>
      <c r="G252" t="inlineStr">
        <is>
          <t>ANEBY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45379</v>
      </c>
      <c r="E253" s="1" t="n">
        <v>46225</v>
      </c>
      <c r="F253" t="inlineStr">
        <is>
          <t>JÖNKÖPINGS LÄN</t>
        </is>
      </c>
      <c r="G253" t="inlineStr">
        <is>
          <t>ANEBY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45122</v>
      </c>
      <c r="E254" s="1" t="n">
        <v>46225</v>
      </c>
      <c r="F254" t="inlineStr">
        <is>
          <t>JÖNKÖPINGS LÄN</t>
        </is>
      </c>
      <c r="G254" t="inlineStr">
        <is>
          <t>ANEBY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46225</v>
      </c>
      <c r="F255" t="inlineStr">
        <is>
          <t>JÖNKÖPINGS LÄN</t>
        </is>
      </c>
      <c r="G255" t="inlineStr">
        <is>
          <t>ANEBY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44959</v>
      </c>
      <c r="E256" s="1" t="n">
        <v>46225</v>
      </c>
      <c r="F256" t="inlineStr">
        <is>
          <t>JÖNKÖPINGS LÄN</t>
        </is>
      </c>
      <c r="G256" t="inlineStr">
        <is>
          <t>ANEBY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45304</v>
      </c>
      <c r="E257" s="1" t="n">
        <v>46225</v>
      </c>
      <c r="F257" t="inlineStr">
        <is>
          <t>JÖNKÖPINGS LÄN</t>
        </is>
      </c>
      <c r="G257" t="inlineStr">
        <is>
          <t>ANEBY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46225</v>
      </c>
      <c r="F258" t="inlineStr">
        <is>
          <t>JÖNKÖPINGS LÄN</t>
        </is>
      </c>
      <c r="G258" t="inlineStr">
        <is>
          <t>ANEBY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38794-2023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45161</v>
      </c>
      <c r="E259" s="1" t="n">
        <v>46225</v>
      </c>
      <c r="F259" t="inlineStr">
        <is>
          <t>JÖNKÖPINGS LÄN</t>
        </is>
      </c>
      <c r="G259" t="inlineStr">
        <is>
          <t>ANEBY</t>
        </is>
      </c>
      <c r="H259" t="inlineStr">
        <is>
          <t>Övriga Aktiebolag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26236-2024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46225</v>
      </c>
      <c r="F260" t="inlineStr">
        <is>
          <t>JÖNKÖPINGS LÄN</t>
        </is>
      </c>
      <c r="G260" t="inlineStr">
        <is>
          <t>ANEBY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7945-2025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45707</v>
      </c>
      <c r="E261" s="1" t="n">
        <v>46225</v>
      </c>
      <c r="F261" t="inlineStr">
        <is>
          <t>JÖNKÖPINGS LÄN</t>
        </is>
      </c>
      <c r="G261" t="inlineStr">
        <is>
          <t>ANEBY</t>
        </is>
      </c>
      <c r="I261" t="n">
        <v>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45552</v>
      </c>
      <c r="E262" s="1" t="n">
        <v>46225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46225</v>
      </c>
      <c r="F263" t="inlineStr">
        <is>
          <t>JÖNKÖPINGS LÄN</t>
        </is>
      </c>
      <c r="G263" t="inlineStr">
        <is>
          <t>ANEBY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51160-2021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44461</v>
      </c>
      <c r="E264" s="1" t="n">
        <v>46225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45126</v>
      </c>
      <c r="E265" s="1" t="n">
        <v>46225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50069-2024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45600</v>
      </c>
      <c r="E266" s="1" t="n">
        <v>46225</v>
      </c>
      <c r="F266" t="inlineStr">
        <is>
          <t>JÖNKÖPINGS LÄN</t>
        </is>
      </c>
      <c r="G266" t="inlineStr">
        <is>
          <t>ANEBY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54213-2024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45616</v>
      </c>
      <c r="E267" s="1" t="n">
        <v>46225</v>
      </c>
      <c r="F267" t="inlineStr">
        <is>
          <t>JÖNKÖPINGS LÄN</t>
        </is>
      </c>
      <c r="G267" t="inlineStr">
        <is>
          <t>ANEBY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46225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44578</v>
      </c>
      <c r="E269" s="1" t="n">
        <v>46225</v>
      </c>
      <c r="F269" t="inlineStr">
        <is>
          <t>JÖNKÖPINGS LÄN</t>
        </is>
      </c>
      <c r="G269" t="inlineStr">
        <is>
          <t>ANEBY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46225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45572</v>
      </c>
      <c r="E271" s="1" t="n">
        <v>46225</v>
      </c>
      <c r="F271" t="inlineStr">
        <is>
          <t>JÖNKÖPINGS LÄN</t>
        </is>
      </c>
      <c r="G271" t="inlineStr">
        <is>
          <t>ANEBY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45124</v>
      </c>
      <c r="E272" s="1" t="n">
        <v>46225</v>
      </c>
      <c r="F272" t="inlineStr">
        <is>
          <t>JÖNKÖPINGS LÄN</t>
        </is>
      </c>
      <c r="G272" t="inlineStr">
        <is>
          <t>ANEBY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45126</v>
      </c>
      <c r="E273" s="1" t="n">
        <v>46225</v>
      </c>
      <c r="F273" t="inlineStr">
        <is>
          <t>JÖNKÖPINGS LÄN</t>
        </is>
      </c>
      <c r="G273" t="inlineStr">
        <is>
          <t>ANEBY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45000</v>
      </c>
      <c r="E274" s="1" t="n">
        <v>46225</v>
      </c>
      <c r="F274" t="inlineStr">
        <is>
          <t>JÖNKÖPINGS LÄN</t>
        </is>
      </c>
      <c r="G274" t="inlineStr">
        <is>
          <t>ANEBY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45357</v>
      </c>
      <c r="E275" s="1" t="n">
        <v>46225</v>
      </c>
      <c r="F275" t="inlineStr">
        <is>
          <t>JÖNKÖPINGS LÄN</t>
        </is>
      </c>
      <c r="G275" t="inlineStr">
        <is>
          <t>ANEBY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45068</v>
      </c>
      <c r="E276" s="1" t="n">
        <v>46225</v>
      </c>
      <c r="F276" t="inlineStr">
        <is>
          <t>JÖNKÖPINGS LÄN</t>
        </is>
      </c>
      <c r="G276" t="inlineStr">
        <is>
          <t>ANEBY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45084</v>
      </c>
      <c r="E277" s="1" t="n">
        <v>46225</v>
      </c>
      <c r="F277" t="inlineStr">
        <is>
          <t>JÖNKÖPINGS LÄN</t>
        </is>
      </c>
      <c r="G277" t="inlineStr">
        <is>
          <t>ANEBY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54095-2024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45616</v>
      </c>
      <c r="E278" s="1" t="n">
        <v>46225</v>
      </c>
      <c r="F278" t="inlineStr">
        <is>
          <t>JÖNKÖPINGS LÄN</t>
        </is>
      </c>
      <c r="G278" t="inlineStr">
        <is>
          <t>ANEBY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45316</v>
      </c>
      <c r="E279" s="1" t="n">
        <v>46225</v>
      </c>
      <c r="F279" t="inlineStr">
        <is>
          <t>JÖNKÖPINGS LÄN</t>
        </is>
      </c>
      <c r="G279" t="inlineStr">
        <is>
          <t>ANEBY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45610</v>
      </c>
      <c r="E280" s="1" t="n">
        <v>46225</v>
      </c>
      <c r="F280" t="inlineStr">
        <is>
          <t>JÖNKÖPINGS LÄN</t>
        </is>
      </c>
      <c r="G280" t="inlineStr">
        <is>
          <t>ANEBY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10155-2024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45364</v>
      </c>
      <c r="E281" s="1" t="n">
        <v>46225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46225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45372</v>
      </c>
      <c r="E283" s="1" t="n">
        <v>46225</v>
      </c>
      <c r="F283" t="inlineStr">
        <is>
          <t>JÖNKÖPINGS LÄN</t>
        </is>
      </c>
      <c r="G283" t="inlineStr">
        <is>
          <t>ANEBY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45665</v>
      </c>
      <c r="E284" s="1" t="n">
        <v>46225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44705</v>
      </c>
      <c r="E285" s="1" t="n">
        <v>46225</v>
      </c>
      <c r="F285" t="inlineStr">
        <is>
          <t>JÖNKÖPINGS LÄN</t>
        </is>
      </c>
      <c r="G285" t="inlineStr">
        <is>
          <t>ANEBY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46225</v>
      </c>
      <c r="F286" t="inlineStr">
        <is>
          <t>JÖNKÖPINGS LÄN</t>
        </is>
      </c>
      <c r="G286" t="inlineStr">
        <is>
          <t>ANEBY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44678</v>
      </c>
      <c r="E287" s="1" t="n">
        <v>46225</v>
      </c>
      <c r="F287" t="inlineStr">
        <is>
          <t>JÖNKÖPINGS LÄN</t>
        </is>
      </c>
      <c r="G287" t="inlineStr">
        <is>
          <t>ANEBY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46225</v>
      </c>
      <c r="F288" t="inlineStr">
        <is>
          <t>JÖNKÖPINGS LÄN</t>
        </is>
      </c>
      <c r="G288" t="inlineStr">
        <is>
          <t>ANEBY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45404</v>
      </c>
      <c r="E289" s="1" t="n">
        <v>46225</v>
      </c>
      <c r="F289" t="inlineStr">
        <is>
          <t>JÖNKÖPINGS LÄN</t>
        </is>
      </c>
      <c r="G289" t="inlineStr">
        <is>
          <t>ANEBY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46225</v>
      </c>
      <c r="F290" t="inlineStr">
        <is>
          <t>JÖNKÖPINGS LÄN</t>
        </is>
      </c>
      <c r="G290" t="inlineStr">
        <is>
          <t>ANEBY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44700</v>
      </c>
      <c r="E291" s="1" t="n">
        <v>46225</v>
      </c>
      <c r="F291" t="inlineStr">
        <is>
          <t>JÖNKÖPINGS LÄN</t>
        </is>
      </c>
      <c r="G291" t="inlineStr">
        <is>
          <t>ANEBY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44671</v>
      </c>
      <c r="E292" s="1" t="n">
        <v>46225</v>
      </c>
      <c r="F292" t="inlineStr">
        <is>
          <t>JÖNKÖPINGS LÄN</t>
        </is>
      </c>
      <c r="G292" t="inlineStr">
        <is>
          <t>ANEBY</t>
        </is>
      </c>
      <c r="H292" t="inlineStr">
        <is>
          <t>Kyrkan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46225</v>
      </c>
      <c r="F293" t="inlineStr">
        <is>
          <t>JÖNKÖPINGS LÄN</t>
        </is>
      </c>
      <c r="G293" t="inlineStr">
        <is>
          <t>ANEBY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44721</v>
      </c>
      <c r="E294" s="1" t="n">
        <v>46225</v>
      </c>
      <c r="F294" t="inlineStr">
        <is>
          <t>JÖNKÖPINGS LÄN</t>
        </is>
      </c>
      <c r="G294" t="inlineStr">
        <is>
          <t>ANEBY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46225</v>
      </c>
      <c r="F295" t="inlineStr">
        <is>
          <t>JÖNKÖPINGS LÄN</t>
        </is>
      </c>
      <c r="G295" t="inlineStr">
        <is>
          <t>ANEBY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45762</v>
      </c>
      <c r="E296" s="1" t="n">
        <v>46225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45775</v>
      </c>
      <c r="E297" s="1" t="n">
        <v>46225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45300</v>
      </c>
      <c r="E298" s="1" t="n">
        <v>46225</v>
      </c>
      <c r="F298" t="inlineStr">
        <is>
          <t>JÖNKÖPINGS LÄN</t>
        </is>
      </c>
      <c r="G298" t="inlineStr">
        <is>
          <t>ANEBY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19362-2025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45769</v>
      </c>
      <c r="E299" s="1" t="n">
        <v>46225</v>
      </c>
      <c r="F299" t="inlineStr">
        <is>
          <t>JÖNKÖPINGS LÄN</t>
        </is>
      </c>
      <c r="G299" t="inlineStr">
        <is>
          <t>ANEBY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45304</v>
      </c>
      <c r="E300" s="1" t="n">
        <v>46225</v>
      </c>
      <c r="F300" t="inlineStr">
        <is>
          <t>JÖNKÖPINGS LÄN</t>
        </is>
      </c>
      <c r="G300" t="inlineStr">
        <is>
          <t>ANEBY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10354-2024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46225</v>
      </c>
      <c r="F301" t="inlineStr">
        <is>
          <t>JÖNKÖPINGS LÄN</t>
        </is>
      </c>
      <c r="G301" t="inlineStr">
        <is>
          <t>ANEBY</t>
        </is>
      </c>
      <c r="H301" t="inlineStr">
        <is>
          <t>Sveaskog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45763</v>
      </c>
      <c r="E302" s="1" t="n">
        <v>46225</v>
      </c>
      <c r="F302" t="inlineStr">
        <is>
          <t>JÖNKÖPINGS LÄN</t>
        </is>
      </c>
      <c r="G302" t="inlineStr">
        <is>
          <t>ANEBY</t>
        </is>
      </c>
      <c r="H302" t="inlineStr">
        <is>
          <t>Övriga Aktiebolag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44847</v>
      </c>
      <c r="E303" s="1" t="n">
        <v>46225</v>
      </c>
      <c r="F303" t="inlineStr">
        <is>
          <t>JÖNKÖPINGS LÄN</t>
        </is>
      </c>
      <c r="G303" t="inlineStr">
        <is>
          <t>ANEBY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57170-2021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46225</v>
      </c>
      <c r="F304" t="inlineStr">
        <is>
          <t>JÖNKÖPINGS LÄN</t>
        </is>
      </c>
      <c r="G304" t="inlineStr">
        <is>
          <t>ANEBY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46225</v>
      </c>
      <c r="F305" t="inlineStr">
        <is>
          <t>JÖNKÖPINGS LÄN</t>
        </is>
      </c>
      <c r="G305" t="inlineStr">
        <is>
          <t>ANEBY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46225</v>
      </c>
      <c r="F306" t="inlineStr">
        <is>
          <t>JÖNKÖPINGS LÄN</t>
        </is>
      </c>
      <c r="G306" t="inlineStr">
        <is>
          <t>ANEBY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46225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46225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67414-2021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46225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44565</v>
      </c>
      <c r="E310" s="1" t="n">
        <v>46225</v>
      </c>
      <c r="F310" t="inlineStr">
        <is>
          <t>JÖNKÖPINGS LÄN</t>
        </is>
      </c>
      <c r="G310" t="inlineStr">
        <is>
          <t>ANEBY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44985</v>
      </c>
      <c r="E311" s="1" t="n">
        <v>46225</v>
      </c>
      <c r="F311" t="inlineStr">
        <is>
          <t>JÖNKÖPINGS LÄN</t>
        </is>
      </c>
      <c r="G311" t="inlineStr">
        <is>
          <t>ANEBY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46225</v>
      </c>
      <c r="F312" t="inlineStr">
        <is>
          <t>JÖNKÖPINGS LÄN</t>
        </is>
      </c>
      <c r="G312" t="inlineStr">
        <is>
          <t>ANEBY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4836-2023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44957</v>
      </c>
      <c r="E313" s="1" t="n">
        <v>46225</v>
      </c>
      <c r="F313" t="inlineStr">
        <is>
          <t>JÖNKÖPINGS LÄN</t>
        </is>
      </c>
      <c r="G313" t="inlineStr">
        <is>
          <t>ANEBY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35773-2023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45148</v>
      </c>
      <c r="E314" s="1" t="n">
        <v>46225</v>
      </c>
      <c r="F314" t="inlineStr">
        <is>
          <t>JÖNKÖPINGS LÄN</t>
        </is>
      </c>
      <c r="G314" t="inlineStr">
        <is>
          <t>ANEBY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55688-2022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44888</v>
      </c>
      <c r="E315" s="1" t="n">
        <v>46225</v>
      </c>
      <c r="F315" t="inlineStr">
        <is>
          <t>JÖNKÖPINGS LÄN</t>
        </is>
      </c>
      <c r="G315" t="inlineStr">
        <is>
          <t>ANEBY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45363</v>
      </c>
      <c r="E316" s="1" t="n">
        <v>46225</v>
      </c>
      <c r="F316" t="inlineStr">
        <is>
          <t>JÖNKÖPINGS LÄN</t>
        </is>
      </c>
      <c r="G316" t="inlineStr">
        <is>
          <t>ANEBY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46225</v>
      </c>
      <c r="F317" t="inlineStr">
        <is>
          <t>JÖNKÖPINGS LÄN</t>
        </is>
      </c>
      <c r="G317" t="inlineStr">
        <is>
          <t>ANEBY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45553</v>
      </c>
      <c r="E318" s="1" t="n">
        <v>46225</v>
      </c>
      <c r="F318" t="inlineStr">
        <is>
          <t>JÖNKÖPINGS LÄN</t>
        </is>
      </c>
      <c r="G318" t="inlineStr">
        <is>
          <t>ANEBY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703-2024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45300</v>
      </c>
      <c r="E319" s="1" t="n">
        <v>46225</v>
      </c>
      <c r="F319" t="inlineStr">
        <is>
          <t>JÖNKÖPINGS LÄN</t>
        </is>
      </c>
      <c r="G319" t="inlineStr">
        <is>
          <t>ANEBY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45184</v>
      </c>
      <c r="E320" s="1" t="n">
        <v>46225</v>
      </c>
      <c r="F320" t="inlineStr">
        <is>
          <t>JÖNKÖPINGS LÄN</t>
        </is>
      </c>
      <c r="G320" t="inlineStr">
        <is>
          <t>ANEBY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46225</v>
      </c>
      <c r="F321" t="inlineStr">
        <is>
          <t>JÖNKÖPINGS LÄN</t>
        </is>
      </c>
      <c r="G321" t="inlineStr">
        <is>
          <t>ANEBY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44620</v>
      </c>
      <c r="E322" s="1" t="n">
        <v>46225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46225</v>
      </c>
      <c r="F323" t="inlineStr">
        <is>
          <t>JÖNKÖPINGS LÄN</t>
        </is>
      </c>
      <c r="G323" t="inlineStr">
        <is>
          <t>ANEBY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10456-2023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44981</v>
      </c>
      <c r="E324" s="1" t="n">
        <v>46225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45665</v>
      </c>
      <c r="E325" s="1" t="n">
        <v>46225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46225</v>
      </c>
      <c r="F326" t="inlineStr">
        <is>
          <t>JÖNKÖPINGS LÄN</t>
        </is>
      </c>
      <c r="G326" t="inlineStr">
        <is>
          <t>ANEBY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35417-2023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46225</v>
      </c>
      <c r="F327" t="inlineStr">
        <is>
          <t>JÖNKÖPINGS LÄN</t>
        </is>
      </c>
      <c r="G327" t="inlineStr">
        <is>
          <t>ANEBY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46225</v>
      </c>
      <c r="F328" t="inlineStr">
        <is>
          <t>JÖNKÖPINGS LÄN</t>
        </is>
      </c>
      <c r="G328" t="inlineStr">
        <is>
          <t>ANEBY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46225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46225</v>
      </c>
      <c r="F330" t="inlineStr">
        <is>
          <t>JÖNKÖPINGS LÄN</t>
        </is>
      </c>
      <c r="G330" t="inlineStr">
        <is>
          <t>ANEBY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46225</v>
      </c>
      <c r="F331" t="inlineStr">
        <is>
          <t>JÖNKÖPINGS LÄN</t>
        </is>
      </c>
      <c r="G331" t="inlineStr">
        <is>
          <t>ANEBY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46225</v>
      </c>
      <c r="F332" t="inlineStr">
        <is>
          <t>JÖNKÖPINGS LÄN</t>
        </is>
      </c>
      <c r="G332" t="inlineStr">
        <is>
          <t>ANEBY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45097</v>
      </c>
      <c r="E333" s="1" t="n">
        <v>46225</v>
      </c>
      <c r="F333" t="inlineStr">
        <is>
          <t>JÖNKÖPINGS LÄN</t>
        </is>
      </c>
      <c r="G333" t="inlineStr">
        <is>
          <t>ANEBY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46225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46225</v>
      </c>
      <c r="F335" t="inlineStr">
        <is>
          <t>JÖNKÖPINGS LÄN</t>
        </is>
      </c>
      <c r="G335" t="inlineStr">
        <is>
          <t>ANEBY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46225</v>
      </c>
      <c r="F336" t="inlineStr">
        <is>
          <t>JÖNKÖPINGS LÄN</t>
        </is>
      </c>
      <c r="G336" t="inlineStr">
        <is>
          <t>ANEBY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45537</v>
      </c>
      <c r="E337" s="1" t="n">
        <v>46225</v>
      </c>
      <c r="F337" t="inlineStr">
        <is>
          <t>JÖNKÖPINGS LÄN</t>
        </is>
      </c>
      <c r="G337" t="inlineStr">
        <is>
          <t>ANEBY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45357</v>
      </c>
      <c r="E338" s="1" t="n">
        <v>46225</v>
      </c>
      <c r="F338" t="inlineStr">
        <is>
          <t>JÖNKÖPINGS LÄN</t>
        </is>
      </c>
      <c r="G338" t="inlineStr">
        <is>
          <t>ANEBY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46225</v>
      </c>
      <c r="F339" t="inlineStr">
        <is>
          <t>JÖNKÖPINGS LÄN</t>
        </is>
      </c>
      <c r="G339" t="inlineStr">
        <is>
          <t>ANEBY</t>
        </is>
      </c>
      <c r="H339" t="inlineStr">
        <is>
          <t>Kyrkan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46225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46225</v>
      </c>
      <c r="F341" t="inlineStr">
        <is>
          <t>JÖNKÖPINGS LÄN</t>
        </is>
      </c>
      <c r="G341" t="inlineStr">
        <is>
          <t>ANEBY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46225</v>
      </c>
      <c r="F342" t="inlineStr">
        <is>
          <t>JÖNKÖPINGS LÄN</t>
        </is>
      </c>
      <c r="G342" t="inlineStr">
        <is>
          <t>ANEBY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47118-2023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45201</v>
      </c>
      <c r="E343" s="1" t="n">
        <v>46225</v>
      </c>
      <c r="F343" t="inlineStr">
        <is>
          <t>JÖNKÖPINGS LÄN</t>
        </is>
      </c>
      <c r="G343" t="inlineStr">
        <is>
          <t>ANEBY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45398</v>
      </c>
      <c r="E344" s="1" t="n">
        <v>46225</v>
      </c>
      <c r="F344" t="inlineStr">
        <is>
          <t>JÖNKÖPINGS LÄN</t>
        </is>
      </c>
      <c r="G344" t="inlineStr">
        <is>
          <t>ANEBY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23966-2025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45796</v>
      </c>
      <c r="E345" s="1" t="n">
        <v>46225</v>
      </c>
      <c r="F345" t="inlineStr">
        <is>
          <t>JÖNKÖPINGS LÄN</t>
        </is>
      </c>
      <c r="G345" t="inlineStr">
        <is>
          <t>ANEBY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805-2022</t>
        </is>
      </c>
      <c r="B346" t="inlineStr">
        <is>
          <t>samrådsanmälan</t>
        </is>
      </c>
      <c r="C346" t="inlineStr">
        <is>
          <t>Skogsbilväg</t>
        </is>
      </c>
      <c r="D346" s="1" t="n">
        <v>44603</v>
      </c>
      <c r="E346" s="1" t="n">
        <v>46225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46225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46225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46225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46225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46225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46225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46225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46225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46225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46225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46225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46225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46225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2026-07-22T01:35:47Z</dcterms:created>
  <dcterms:modified xmlns:dcterms="http://purl.org/dc/terms/" xmlns:xsi="http://www.w3.org/2001/XMLSchema-instance" xsi:type="dcterms:W3CDTF">2026-07-22T01:35:47Z</dcterms:modified>
</cp:coreProperties>
</file>