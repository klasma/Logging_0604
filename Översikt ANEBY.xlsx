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46316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46316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46316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46316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46316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46316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46316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46316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46316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46316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46316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46316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46316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46316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46316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46316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46316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10301-2024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46316</v>
      </c>
      <c r="F24" t="inlineStr">
        <is>
          <t>JÖNKÖPINGS LÄN</t>
        </is>
      </c>
      <c r="G24" t="inlineStr">
        <is>
          <t>ANEBY</t>
        </is>
      </c>
      <c r="H24" t="inlineStr">
        <is>
          <t>Sveaskog</t>
        </is>
      </c>
      <c r="I24" t="n">
        <v>2.7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Grönvit nattviol</t>
        </is>
      </c>
      <c r="W24">
        <f>HYPERLINK("https://klasma.github.io/Logging_0604/artfynd/A 10301-2024 artfynd.xlsx", "A 10301-2024")</f>
        <v/>
      </c>
      <c r="X24">
        <f>HYPERLINK("https://klasma.github.io/Logging_0604/kartor/A 10301-2024 karta.png", "A 10301-2024")</f>
        <v/>
      </c>
      <c r="Y24">
        <f>HYPERLINK("https://klasma.github.io/Logging_0604/kartor_geotiff/A 10301-2024 georefererad karta.tif", "A 10301-2024")</f>
        <v/>
      </c>
      <c r="AA24">
        <f>HYPERLINK("https://klasma.github.io/Logging_0604/klagomål/A 10301-2024 FSC-klagomål.docx", "A 10301-2024")</f>
        <v/>
      </c>
      <c r="AB24">
        <f>HYPERLINK("https://klasma.github.io/Logging_0604/klagomålsmail/A 10301-2024 FSC-klagomål mail.docx", "A 10301-2024")</f>
        <v/>
      </c>
      <c r="AC24">
        <f>HYPERLINK("https://klasma.github.io/Logging_0604/tillsyn/A 10301-2024 tillsynsbegäran.docx", "A 10301-2024")</f>
        <v/>
      </c>
      <c r="AD24">
        <f>HYPERLINK("https://klasma.github.io/Logging_0604/tillsynsmail/A 10301-2024 tillsynsbegäran mail.docx", "A 10301-2024")</f>
        <v/>
      </c>
      <c r="AE24">
        <f>HYPERLINK("https://klasma.github.io/Logging_0604/fåglar/A 10301-2024 prioriterade fågelarter.docx", "A 10301-2024")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46316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46316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46316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46316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46316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40897-2024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46316</v>
      </c>
      <c r="F30" t="inlineStr">
        <is>
          <t>JÖNKÖPINGS LÄN</t>
        </is>
      </c>
      <c r="G30" t="inlineStr">
        <is>
          <t>ANEBY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Fläckmaskros</t>
        </is>
      </c>
      <c r="W30">
        <f>HYPERLINK("https://klasma.github.io/Logging_0604/artfynd/A 40897-2024 artfynd.xlsx", "A 40897-2024")</f>
        <v/>
      </c>
      <c r="X30">
        <f>HYPERLINK("https://klasma.github.io/Logging_0604/kartor/A 40897-2024 karta.png", "A 40897-2024")</f>
        <v/>
      </c>
      <c r="Y30">
        <f>HYPERLINK("https://klasma.github.io/Logging_0604/kartor_geotiff/A 40897-2024 georefererad karta.tif", "A 40897-2024")</f>
        <v/>
      </c>
      <c r="AA30">
        <f>HYPERLINK("https://klasma.github.io/Logging_0604/klagomål/A 40897-2024 FSC-klagomål.docx", "A 40897-2024")</f>
        <v/>
      </c>
      <c r="AB30">
        <f>HYPERLINK("https://klasma.github.io/Logging_0604/klagomålsmail/A 40897-2024 FSC-klagomål mail.docx", "A 40897-2024")</f>
        <v/>
      </c>
      <c r="AC30">
        <f>HYPERLINK("https://klasma.github.io/Logging_0604/tillsyn/A 40897-2024 tillsynsbegäran.docx", "A 40897-2024")</f>
        <v/>
      </c>
      <c r="AD30">
        <f>HYPERLINK("https://klasma.github.io/Logging_0604/tillsynsmail/A 40897-2024 tillsynsbegäran mail.docx", "A 40897-2024")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46316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46316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46316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8117-2025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45707</v>
      </c>
      <c r="E34" s="1" t="n">
        <v>46316</v>
      </c>
      <c r="F34" t="inlineStr">
        <is>
          <t>JÖNKÖPINGS LÄN</t>
        </is>
      </c>
      <c r="G34" t="inlineStr">
        <is>
          <t>ANEBY</t>
        </is>
      </c>
      <c r="I34" t="n">
        <v>2.3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Enkelbeckasin</t>
        </is>
      </c>
      <c r="W34">
        <f>HYPERLINK("https://klasma.github.io/Logging_0604/artfynd/A 8117-2025 artfynd.xlsx", "A 8117-2025")</f>
        <v/>
      </c>
      <c r="X34">
        <f>HYPERLINK("https://klasma.github.io/Logging_0604/kartor/A 8117-2025 karta.png", "A 8117-2025")</f>
        <v/>
      </c>
      <c r="Y34">
        <f>HYPERLINK("https://klasma.github.io/Logging_0604/kartor_geotiff/A 8117-2025 georefererad karta.tif", "A 8117-2025")</f>
        <v/>
      </c>
      <c r="AA34">
        <f>HYPERLINK("https://klasma.github.io/Logging_0604/klagomål/A 8117-2025 FSC-klagomål.docx", "A 8117-2025")</f>
        <v/>
      </c>
      <c r="AB34">
        <f>HYPERLINK("https://klasma.github.io/Logging_0604/klagomålsmail/A 8117-2025 FSC-klagomål mail.docx", "A 8117-2025")</f>
        <v/>
      </c>
      <c r="AC34">
        <f>HYPERLINK("https://klasma.github.io/Logging_0604/tillsyn/A 8117-2025 tillsynsbegäran.docx", "A 8117-2025")</f>
        <v/>
      </c>
      <c r="AD34">
        <f>HYPERLINK("https://klasma.github.io/Logging_0604/tillsynsmail/A 8117-2025 tillsynsbegäran mail.docx", "A 8117-2025")</f>
        <v/>
      </c>
      <c r="AE34">
        <f>HYPERLINK("https://klasma.github.io/Logging_0604/fåglar/A 8117-2025 prioriterade fågelarter.docx", "A 8117-2025")</f>
        <v/>
      </c>
    </row>
    <row r="35" ht="15" customHeight="1">
      <c r="A35" t="inlineStr">
        <is>
          <t>A 24863-2024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45461</v>
      </c>
      <c r="E35" s="1" t="n">
        <v>46316</v>
      </c>
      <c r="F35" t="inlineStr">
        <is>
          <t>JÖNKÖPINGS LÄN</t>
        </is>
      </c>
      <c r="G35" t="inlineStr">
        <is>
          <t>ANEBY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Järpe</t>
        </is>
      </c>
      <c r="W35">
        <f>HYPERLINK("https://klasma.github.io/Logging_0604/artfynd/A 24863-2024 artfynd.xlsx", "A 24863-2024")</f>
        <v/>
      </c>
      <c r="X35">
        <f>HYPERLINK("https://klasma.github.io/Logging_0604/kartor/A 24863-2024 karta.png", "A 24863-2024")</f>
        <v/>
      </c>
      <c r="Y35">
        <f>HYPERLINK("https://klasma.github.io/Logging_0604/kartor_geotiff/A 24863-2024 georefererad karta.tif", "A 24863-2024")</f>
        <v/>
      </c>
      <c r="AA35">
        <f>HYPERLINK("https://klasma.github.io/Logging_0604/klagomål/A 24863-2024 FSC-klagomål.docx", "A 24863-2024")</f>
        <v/>
      </c>
      <c r="AB35">
        <f>HYPERLINK("https://klasma.github.io/Logging_0604/klagomålsmail/A 24863-2024 FSC-klagomål mail.docx", "A 24863-2024")</f>
        <v/>
      </c>
      <c r="AC35">
        <f>HYPERLINK("https://klasma.github.io/Logging_0604/tillsyn/A 24863-2024 tillsynsbegäran.docx", "A 24863-2024")</f>
        <v/>
      </c>
      <c r="AD35">
        <f>HYPERLINK("https://klasma.github.io/Logging_0604/tillsynsmail/A 24863-2024 tillsynsbegäran mail.docx", "A 24863-2024")</f>
        <v/>
      </c>
      <c r="AE35">
        <f>HYPERLINK("https://klasma.github.io/Logging_0604/fåglar/A 24863-2024 prioriterade fågelarter.docx", "A 24863-2024")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46316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10010-2023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44985</v>
      </c>
      <c r="E37" s="1" t="n">
        <v>46316</v>
      </c>
      <c r="F37" t="inlineStr">
        <is>
          <t>JÖNKÖPINGS LÄN</t>
        </is>
      </c>
      <c r="G37" t="inlineStr">
        <is>
          <t>ANEBY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Ask</t>
        </is>
      </c>
      <c r="W37">
        <f>HYPERLINK("https://klasma.github.io/Logging_0604/artfynd/A 10010-2023 artfynd.xlsx", "A 10010-2023")</f>
        <v/>
      </c>
      <c r="X37">
        <f>HYPERLINK("https://klasma.github.io/Logging_0604/kartor/A 10010-2023 karta.png", "A 10010-2023")</f>
        <v/>
      </c>
      <c r="Y37">
        <f>HYPERLINK("https://klasma.github.io/Logging_0604/kartor_geotiff/A 10010-2023 georefererad karta.tif", "A 10010-2023")</f>
        <v/>
      </c>
      <c r="AA37">
        <f>HYPERLINK("https://klasma.github.io/Logging_0604/klagomål/A 10010-2023 FSC-klagomål.docx", "A 10010-2023")</f>
        <v/>
      </c>
      <c r="AB37">
        <f>HYPERLINK("https://klasma.github.io/Logging_0604/klagomålsmail/A 10010-2023 FSC-klagomål mail.docx", "A 10010-2023")</f>
        <v/>
      </c>
      <c r="AC37">
        <f>HYPERLINK("https://klasma.github.io/Logging_0604/tillsyn/A 10010-2023 tillsynsbegäran.docx", "A 10010-2023")</f>
        <v/>
      </c>
      <c r="AD37">
        <f>HYPERLINK("https://klasma.github.io/Logging_0604/tillsynsmail/A 10010-2023 tillsynsbegäran mail.docx", "A 10010-2023")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46316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46316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412-2022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46316</v>
      </c>
      <c r="F40" t="inlineStr">
        <is>
          <t>JÖNKÖPINGS LÄN</t>
        </is>
      </c>
      <c r="G40" t="inlineStr">
        <is>
          <t>ANEBY</t>
        </is>
      </c>
      <c r="I40" t="n">
        <v>6.7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HYPERLINK("https://klasma.github.io/Logging_0604/artfynd/A 412-2022 artfynd.xlsx", "A 412-2022")</f>
        <v/>
      </c>
      <c r="X40">
        <f>HYPERLINK("https://klasma.github.io/Logging_0604/kartor/A 412-2022 karta.png", "A 412-2022")</f>
        <v/>
      </c>
      <c r="Y40">
        <f>HYPERLINK("https://klasma.github.io/Logging_0604/kartor_geotiff/A 412-2022 georefererad karta.tif", "A 412-2022")</f>
        <v/>
      </c>
      <c r="AA40">
        <f>HYPERLINK("https://klasma.github.io/Logging_0604/klagomål/A 412-2022 FSC-klagomål.docx", "A 412-2022")</f>
        <v/>
      </c>
      <c r="AB40">
        <f>HYPERLINK("https://klasma.github.io/Logging_0604/klagomålsmail/A 412-2022 FSC-klagomål mail.docx", "A 412-2022")</f>
        <v/>
      </c>
      <c r="AC40">
        <f>HYPERLINK("https://klasma.github.io/Logging_0604/tillsyn/A 412-2022 tillsynsbegäran.docx", "A 412-2022")</f>
        <v/>
      </c>
      <c r="AD40">
        <f>HYPERLINK("https://klasma.github.io/Logging_0604/tillsynsmail/A 412-2022 tillsynsbegäran mail.docx", "A 412-2022")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46316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38728-2024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46316</v>
      </c>
      <c r="F42" t="inlineStr">
        <is>
          <t>JÖNKÖPINGS LÄN</t>
        </is>
      </c>
      <c r="G42" t="inlineStr">
        <is>
          <t>ANEBY</t>
        </is>
      </c>
      <c r="I42" t="n">
        <v>5.5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Talltita</t>
        </is>
      </c>
      <c r="W42">
        <f>HYPERLINK("https://klasma.github.io/Logging_0604/artfynd/A 38728-2024 artfynd.xlsx", "A 38728-2024")</f>
        <v/>
      </c>
      <c r="X42">
        <f>HYPERLINK("https://klasma.github.io/Logging_0604/kartor/A 38728-2024 karta.png", "A 38728-2024")</f>
        <v/>
      </c>
      <c r="Y42">
        <f>HYPERLINK("https://klasma.github.io/Logging_0604/kartor_geotiff/A 38728-2024 georefererad karta.tif", "A 38728-2024")</f>
        <v/>
      </c>
      <c r="AA42">
        <f>HYPERLINK("https://klasma.github.io/Logging_0604/klagomål/A 38728-2024 FSC-klagomål.docx", "A 38728-2024")</f>
        <v/>
      </c>
      <c r="AB42">
        <f>HYPERLINK("https://klasma.github.io/Logging_0604/klagomålsmail/A 38728-2024 FSC-klagomål mail.docx", "A 38728-2024")</f>
        <v/>
      </c>
      <c r="AC42">
        <f>HYPERLINK("https://klasma.github.io/Logging_0604/tillsyn/A 38728-2024 tillsynsbegäran.docx", "A 38728-2024")</f>
        <v/>
      </c>
      <c r="AD42">
        <f>HYPERLINK("https://klasma.github.io/Logging_0604/tillsynsmail/A 38728-2024 tillsynsbegäran mail.docx", "A 38728-2024")</f>
        <v/>
      </c>
      <c r="AE42">
        <f>HYPERLINK("https://klasma.github.io/Logging_0604/fåglar/A 38728-2024 prioriterade fågelarter.docx", "A 38728-2024")</f>
        <v/>
      </c>
    </row>
    <row r="43" ht="15" customHeight="1">
      <c r="A43" t="inlineStr">
        <is>
          <t>A 13163-2024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46316</v>
      </c>
      <c r="F43" t="inlineStr">
        <is>
          <t>JÖNKÖPINGS LÄN</t>
        </is>
      </c>
      <c r="G43" t="inlineStr">
        <is>
          <t>ANEBY</t>
        </is>
      </c>
      <c r="I43" t="n">
        <v>6.9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HYPERLINK("https://klasma.github.io/Logging_0604/artfynd/A 13163-2024 artfynd.xlsx", "A 13163-2024")</f>
        <v/>
      </c>
      <c r="X43">
        <f>HYPERLINK("https://klasma.github.io/Logging_0604/kartor/A 13163-2024 karta.png", "A 13163-2024")</f>
        <v/>
      </c>
      <c r="Y43">
        <f>HYPERLINK("https://klasma.github.io/Logging_0604/kartor_geotiff/A 13163-2024 georefererad karta.tif", "A 13163-2024")</f>
        <v/>
      </c>
      <c r="AA43">
        <f>HYPERLINK("https://klasma.github.io/Logging_0604/klagomål/A 13163-2024 FSC-klagomål.docx", "A 13163-2024")</f>
        <v/>
      </c>
      <c r="AB43">
        <f>HYPERLINK("https://klasma.github.io/Logging_0604/klagomålsmail/A 13163-2024 FSC-klagomål mail.docx", "A 13163-2024")</f>
        <v/>
      </c>
      <c r="AC43">
        <f>HYPERLINK("https://klasma.github.io/Logging_0604/tillsyn/A 13163-2024 tillsynsbegäran.docx", "A 13163-2024")</f>
        <v/>
      </c>
      <c r="AD43">
        <f>HYPERLINK("https://klasma.github.io/Logging_0604/tillsynsmail/A 13163-2024 tillsynsbegäran mail.docx", "A 13163-2024")</f>
        <v/>
      </c>
    </row>
    <row r="44" ht="15" customHeight="1">
      <c r="A44" t="inlineStr">
        <is>
          <t>A 38338-2023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46316</v>
      </c>
      <c r="F44" t="inlineStr">
        <is>
          <t>JÖNKÖPINGS LÄN</t>
        </is>
      </c>
      <c r="G44" t="inlineStr">
        <is>
          <t>ANEBY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HYPERLINK("https://klasma.github.io/Logging_0604/artfynd/A 38338-2023 artfynd.xlsx", "A 38338-2023")</f>
        <v/>
      </c>
      <c r="X44">
        <f>HYPERLINK("https://klasma.github.io/Logging_0604/kartor/A 38338-2023 karta.png", "A 38338-2023")</f>
        <v/>
      </c>
      <c r="Y44">
        <f>HYPERLINK("https://klasma.github.io/Logging_0604/kartor_geotiff/A 38338-2023 georefererad karta.tif", "A 38338-2023")</f>
        <v/>
      </c>
      <c r="AA44">
        <f>HYPERLINK("https://klasma.github.io/Logging_0604/klagomål/A 38338-2023 FSC-klagomål.docx", "A 38338-2023")</f>
        <v/>
      </c>
      <c r="AB44">
        <f>HYPERLINK("https://klasma.github.io/Logging_0604/klagomålsmail/A 38338-2023 FSC-klagomål mail.docx", "A 38338-2023")</f>
        <v/>
      </c>
      <c r="AC44">
        <f>HYPERLINK("https://klasma.github.io/Logging_0604/tillsyn/A 38338-2023 tillsynsbegäran.docx", "A 38338-2023")</f>
        <v/>
      </c>
      <c r="AD44">
        <f>HYPERLINK("https://klasma.github.io/Logging_0604/tillsynsmail/A 38338-2023 tillsynsbegäran mail.docx", "A 38338-2023")</f>
        <v/>
      </c>
    </row>
    <row r="45" ht="15" customHeight="1">
      <c r="A45" t="inlineStr">
        <is>
          <t>A 53251-2023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46316</v>
      </c>
      <c r="F45" t="inlineStr">
        <is>
          <t>JÖNKÖPINGS LÄN</t>
        </is>
      </c>
      <c r="G45" t="inlineStr">
        <is>
          <t>ANEBY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HYPERLINK("https://klasma.github.io/Logging_0604/artfynd/A 53251-2023 artfynd.xlsx", "A 53251-2023")</f>
        <v/>
      </c>
      <c r="X45">
        <f>HYPERLINK("https://klasma.github.io/Logging_0604/kartor/A 53251-2023 karta.png", "A 53251-2023")</f>
        <v/>
      </c>
      <c r="Y45">
        <f>HYPERLINK("https://klasma.github.io/Logging_0604/kartor_geotiff/A 53251-2023 georefererad karta.tif", "A 53251-2023")</f>
        <v/>
      </c>
      <c r="AA45">
        <f>HYPERLINK("https://klasma.github.io/Logging_0604/klagomål/A 53251-2023 FSC-klagomål.docx", "A 53251-2023")</f>
        <v/>
      </c>
      <c r="AB45">
        <f>HYPERLINK("https://klasma.github.io/Logging_0604/klagomålsmail/A 53251-2023 FSC-klagomål mail.docx", "A 53251-2023")</f>
        <v/>
      </c>
      <c r="AC45">
        <f>HYPERLINK("https://klasma.github.io/Logging_0604/tillsyn/A 53251-2023 tillsynsbegäran.docx", "A 53251-2023")</f>
        <v/>
      </c>
      <c r="AD45">
        <f>HYPERLINK("https://klasma.github.io/Logging_0604/tillsynsmail/A 53251-2023 tillsynsbegäran mail.docx", "A 53251-2023")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46316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46316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46316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46316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46316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46316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46316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46316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46316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46316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46316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46316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46316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46316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46316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46316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46316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46316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46316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46316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46316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46316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46316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46316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46316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46316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46316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46316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46316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46316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46316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46316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19362-2025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45769</v>
      </c>
      <c r="E82" s="1" t="n">
        <v>46316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46316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46316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45126</v>
      </c>
      <c r="E85" s="1" t="n">
        <v>46316</v>
      </c>
      <c r="F85" t="inlineStr">
        <is>
          <t>JÖNKÖPINGS LÄN</t>
        </is>
      </c>
      <c r="G85" t="inlineStr">
        <is>
          <t>ANEBY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46316</v>
      </c>
      <c r="F86" t="inlineStr">
        <is>
          <t>JÖNKÖPINGS LÄN</t>
        </is>
      </c>
      <c r="G86" t="inlineStr">
        <is>
          <t>ANEBY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46316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46316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46316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45122</v>
      </c>
      <c r="E90" s="1" t="n">
        <v>46316</v>
      </c>
      <c r="F90" t="inlineStr">
        <is>
          <t>JÖNKÖPINGS LÄN</t>
        </is>
      </c>
      <c r="G90" t="inlineStr">
        <is>
          <t>ANEBY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46316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46316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46316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46316</v>
      </c>
      <c r="F94" t="inlineStr">
        <is>
          <t>JÖNKÖPINGS LÄN</t>
        </is>
      </c>
      <c r="G94" t="inlineStr">
        <is>
          <t>ANEBY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46316</v>
      </c>
      <c r="F95" t="inlineStr">
        <is>
          <t>JÖNKÖPINGS LÄN</t>
        </is>
      </c>
      <c r="G95" t="inlineStr">
        <is>
          <t>ANEBY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49427-2023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45205</v>
      </c>
      <c r="E96" s="1" t="n">
        <v>46316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45398</v>
      </c>
      <c r="E97" s="1" t="n">
        <v>46316</v>
      </c>
      <c r="F97" t="inlineStr">
        <is>
          <t>JÖNKÖPINGS LÄN</t>
        </is>
      </c>
      <c r="G97" t="inlineStr">
        <is>
          <t>ANEBY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46316</v>
      </c>
      <c r="F98" t="inlineStr">
        <is>
          <t>JÖNKÖPINGS LÄN</t>
        </is>
      </c>
      <c r="G98" t="inlineStr">
        <is>
          <t>ANEBY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46316</v>
      </c>
      <c r="F99" t="inlineStr">
        <is>
          <t>JÖNKÖPINGS LÄN</t>
        </is>
      </c>
      <c r="G99" t="inlineStr">
        <is>
          <t>ANEBY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46316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46316</v>
      </c>
      <c r="F101" t="inlineStr">
        <is>
          <t>JÖNKÖPINGS LÄN</t>
        </is>
      </c>
      <c r="G101" t="inlineStr">
        <is>
          <t>ANEBY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46316</v>
      </c>
      <c r="F102" t="inlineStr">
        <is>
          <t>JÖNKÖPINGS LÄN</t>
        </is>
      </c>
      <c r="G102" t="inlineStr">
        <is>
          <t>ANEBY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46316</v>
      </c>
      <c r="F103" t="inlineStr">
        <is>
          <t>JÖNKÖPINGS LÄN</t>
        </is>
      </c>
      <c r="G103" t="inlineStr">
        <is>
          <t>ANEBY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35555-2024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46316</v>
      </c>
      <c r="F104" t="inlineStr">
        <is>
          <t>JÖNKÖPINGS LÄN</t>
        </is>
      </c>
      <c r="G104" t="inlineStr">
        <is>
          <t>ANEBY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46316</v>
      </c>
      <c r="F105" t="inlineStr">
        <is>
          <t>JÖNKÖPINGS LÄN</t>
        </is>
      </c>
      <c r="G105" t="inlineStr">
        <is>
          <t>ANEBY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46316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46316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46316</v>
      </c>
      <c r="F108" t="inlineStr">
        <is>
          <t>JÖNKÖPINGS LÄN</t>
        </is>
      </c>
      <c r="G108" t="inlineStr">
        <is>
          <t>ANEBY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46316</v>
      </c>
      <c r="F109" t="inlineStr">
        <is>
          <t>JÖNKÖPINGS LÄN</t>
        </is>
      </c>
      <c r="G109" t="inlineStr">
        <is>
          <t>ANEBY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46316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45762</v>
      </c>
      <c r="E111" s="1" t="n">
        <v>46316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46316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46316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46021</v>
      </c>
      <c r="E114" s="1" t="n">
        <v>46316</v>
      </c>
      <c r="F114" t="inlineStr">
        <is>
          <t>JÖNKÖPINGS LÄN</t>
        </is>
      </c>
      <c r="G114" t="inlineStr">
        <is>
          <t>ANEBY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11565-2025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45727</v>
      </c>
      <c r="E115" s="1" t="n">
        <v>46316</v>
      </c>
      <c r="F115" t="inlineStr">
        <is>
          <t>JÖNKÖPINGS LÄN</t>
        </is>
      </c>
      <c r="G115" t="inlineStr">
        <is>
          <t>ANEBY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45653</v>
      </c>
      <c r="E116" s="1" t="n">
        <v>46316</v>
      </c>
      <c r="F116" t="inlineStr">
        <is>
          <t>JÖNKÖPINGS LÄN</t>
        </is>
      </c>
      <c r="G116" t="inlineStr">
        <is>
          <t>ANEBY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46021</v>
      </c>
      <c r="E117" s="1" t="n">
        <v>46316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45812</v>
      </c>
      <c r="E118" s="1" t="n">
        <v>46316</v>
      </c>
      <c r="F118" t="inlineStr">
        <is>
          <t>JÖNKÖPINGS LÄN</t>
        </is>
      </c>
      <c r="G118" t="inlineStr">
        <is>
          <t>ANEBY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45461</v>
      </c>
      <c r="E119" s="1" t="n">
        <v>46316</v>
      </c>
      <c r="F119" t="inlineStr">
        <is>
          <t>JÖNKÖPINGS LÄN</t>
        </is>
      </c>
      <c r="G119" t="inlineStr">
        <is>
          <t>ANEBY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46316</v>
      </c>
      <c r="F120" t="inlineStr">
        <is>
          <t>JÖNKÖPINGS LÄN</t>
        </is>
      </c>
      <c r="G120" t="inlineStr">
        <is>
          <t>ANEBY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46316</v>
      </c>
      <c r="F121" t="inlineStr">
        <is>
          <t>JÖNKÖPINGS LÄN</t>
        </is>
      </c>
      <c r="G121" t="inlineStr">
        <is>
          <t>ANEBY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46316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46316</v>
      </c>
      <c r="F123" t="inlineStr">
        <is>
          <t>JÖNKÖPINGS LÄN</t>
        </is>
      </c>
      <c r="G123" t="inlineStr">
        <is>
          <t>ANEBY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45141</v>
      </c>
      <c r="E124" s="1" t="n">
        <v>46316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46316</v>
      </c>
      <c r="F125" t="inlineStr">
        <is>
          <t>JÖNKÖPINGS LÄN</t>
        </is>
      </c>
      <c r="G125" t="inlineStr">
        <is>
          <t>ANEBY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46316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46316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46316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45236</v>
      </c>
      <c r="E129" s="1" t="n">
        <v>46316</v>
      </c>
      <c r="F129" t="inlineStr">
        <is>
          <t>JÖNKÖPINGS LÄN</t>
        </is>
      </c>
      <c r="G129" t="inlineStr">
        <is>
          <t>ANEBY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46316</v>
      </c>
      <c r="F130" t="inlineStr">
        <is>
          <t>JÖNKÖPINGS LÄN</t>
        </is>
      </c>
      <c r="G130" t="inlineStr">
        <is>
          <t>ANEBY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43528-2025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45911</v>
      </c>
      <c r="E131" s="1" t="n">
        <v>46316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46316</v>
      </c>
      <c r="F132" t="inlineStr">
        <is>
          <t>JÖNKÖPINGS LÄN</t>
        </is>
      </c>
      <c r="G132" t="inlineStr">
        <is>
          <t>ANEBY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46316</v>
      </c>
      <c r="F133" t="inlineStr">
        <is>
          <t>JÖNKÖPINGS LÄN</t>
        </is>
      </c>
      <c r="G133" t="inlineStr">
        <is>
          <t>ANEBY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21026-2024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45439</v>
      </c>
      <c r="E134" s="1" t="n">
        <v>46316</v>
      </c>
      <c r="F134" t="inlineStr">
        <is>
          <t>JÖNKÖPINGS LÄN</t>
        </is>
      </c>
      <c r="G134" t="inlineStr">
        <is>
          <t>ANEBY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701-2024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45300</v>
      </c>
      <c r="E135" s="1" t="n">
        <v>46316</v>
      </c>
      <c r="F135" t="inlineStr">
        <is>
          <t>JÖNKÖPINGS LÄN</t>
        </is>
      </c>
      <c r="G135" t="inlineStr">
        <is>
          <t>ANEBY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44678</v>
      </c>
      <c r="E136" s="1" t="n">
        <v>46316</v>
      </c>
      <c r="F136" t="inlineStr">
        <is>
          <t>JÖNKÖPINGS LÄN</t>
        </is>
      </c>
      <c r="G136" t="inlineStr">
        <is>
          <t>ANEBY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46316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46316</v>
      </c>
      <c r="F138" t="inlineStr">
        <is>
          <t>JÖNKÖPINGS LÄN</t>
        </is>
      </c>
      <c r="G138" t="inlineStr">
        <is>
          <t>ANEBY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46316</v>
      </c>
      <c r="F139" t="inlineStr">
        <is>
          <t>JÖNKÖPINGS LÄN</t>
        </is>
      </c>
      <c r="G139" t="inlineStr">
        <is>
          <t>ANEBY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6827-2026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46057</v>
      </c>
      <c r="E140" s="1" t="n">
        <v>46316</v>
      </c>
      <c r="F140" t="inlineStr">
        <is>
          <t>JÖNKÖPINGS LÄN</t>
        </is>
      </c>
      <c r="G140" t="inlineStr">
        <is>
          <t>ANEBY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46316</v>
      </c>
      <c r="F141" t="inlineStr">
        <is>
          <t>JÖNKÖPINGS LÄN</t>
        </is>
      </c>
      <c r="G141" t="inlineStr">
        <is>
          <t>ANEBY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45304</v>
      </c>
      <c r="E142" s="1" t="n">
        <v>46316</v>
      </c>
      <c r="F142" t="inlineStr">
        <is>
          <t>JÖNKÖPINGS LÄN</t>
        </is>
      </c>
      <c r="G142" t="inlineStr">
        <is>
          <t>ANEBY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46316</v>
      </c>
      <c r="F143" t="inlineStr">
        <is>
          <t>JÖNKÖPINGS LÄN</t>
        </is>
      </c>
      <c r="G143" t="inlineStr">
        <is>
          <t>ANEBY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46316</v>
      </c>
      <c r="F144" t="inlineStr">
        <is>
          <t>JÖNKÖPINGS LÄN</t>
        </is>
      </c>
      <c r="G144" t="inlineStr">
        <is>
          <t>ANEBY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7263-2026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46058</v>
      </c>
      <c r="E145" s="1" t="n">
        <v>46316</v>
      </c>
      <c r="F145" t="inlineStr">
        <is>
          <t>JÖNKÖPINGS LÄN</t>
        </is>
      </c>
      <c r="G145" t="inlineStr">
        <is>
          <t>ANEBY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46316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46316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46316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16.8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46316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27714-2024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45475</v>
      </c>
      <c r="E150" s="1" t="n">
        <v>46316</v>
      </c>
      <c r="F150" t="inlineStr">
        <is>
          <t>JÖNKÖPINGS LÄN</t>
        </is>
      </c>
      <c r="G150" t="inlineStr">
        <is>
          <t>ANEBY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45146</v>
      </c>
      <c r="E151" s="1" t="n">
        <v>46316</v>
      </c>
      <c r="F151" t="inlineStr">
        <is>
          <t>JÖNKÖPINGS LÄN</t>
        </is>
      </c>
      <c r="G151" t="inlineStr">
        <is>
          <t>ANEBY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46316</v>
      </c>
      <c r="F152" t="inlineStr">
        <is>
          <t>JÖNKÖPINGS LÄN</t>
        </is>
      </c>
      <c r="G152" t="inlineStr">
        <is>
          <t>ANEBY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46316</v>
      </c>
      <c r="F153" t="inlineStr">
        <is>
          <t>JÖNKÖPINGS LÄN</t>
        </is>
      </c>
      <c r="G153" t="inlineStr">
        <is>
          <t>ANEBY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49133-2022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44860</v>
      </c>
      <c r="E154" s="1" t="n">
        <v>46316</v>
      </c>
      <c r="F154" t="inlineStr">
        <is>
          <t>JÖNKÖPINGS LÄN</t>
        </is>
      </c>
      <c r="G154" t="inlineStr">
        <is>
          <t>ANEBY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46316</v>
      </c>
      <c r="F155" t="inlineStr">
        <is>
          <t>JÖNKÖPINGS LÄN</t>
        </is>
      </c>
      <c r="G155" t="inlineStr">
        <is>
          <t>ANEBY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46316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46316</v>
      </c>
      <c r="F157" t="inlineStr">
        <is>
          <t>JÖNKÖPINGS LÄN</t>
        </is>
      </c>
      <c r="G157" t="inlineStr">
        <is>
          <t>ANEBY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46316</v>
      </c>
      <c r="F158" t="inlineStr">
        <is>
          <t>JÖNKÖPINGS LÄN</t>
        </is>
      </c>
      <c r="G158" t="inlineStr">
        <is>
          <t>ANEBY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46316</v>
      </c>
      <c r="F159" t="inlineStr">
        <is>
          <t>JÖNKÖPINGS LÄN</t>
        </is>
      </c>
      <c r="G159" t="inlineStr">
        <is>
          <t>ANEBY</t>
        </is>
      </c>
      <c r="H159" t="inlineStr">
        <is>
          <t>Sveaskog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45330</v>
      </c>
      <c r="E160" s="1" t="n">
        <v>46316</v>
      </c>
      <c r="F160" t="inlineStr">
        <is>
          <t>JÖNKÖPINGS LÄN</t>
        </is>
      </c>
      <c r="G160" t="inlineStr">
        <is>
          <t>ANEBY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46316</v>
      </c>
      <c r="F161" t="inlineStr">
        <is>
          <t>JÖNKÖPINGS LÄN</t>
        </is>
      </c>
      <c r="G161" t="inlineStr">
        <is>
          <t>ANEBY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46316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46316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46316</v>
      </c>
      <c r="F164" t="inlineStr">
        <is>
          <t>JÖNKÖPINGS LÄN</t>
        </is>
      </c>
      <c r="G164" t="inlineStr">
        <is>
          <t>ANEBY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46316</v>
      </c>
      <c r="F165" t="inlineStr">
        <is>
          <t>JÖNKÖPINGS LÄN</t>
        </is>
      </c>
      <c r="G165" t="inlineStr">
        <is>
          <t>ANEBY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46316</v>
      </c>
      <c r="F166" t="inlineStr">
        <is>
          <t>JÖNKÖPINGS LÄN</t>
        </is>
      </c>
      <c r="G166" t="inlineStr">
        <is>
          <t>ANEBY</t>
        </is>
      </c>
      <c r="H166" t="inlineStr">
        <is>
          <t>Övriga Aktiebolag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46316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46316</v>
      </c>
      <c r="F168" t="inlineStr">
        <is>
          <t>JÖNKÖPINGS LÄN</t>
        </is>
      </c>
      <c r="G168" t="inlineStr">
        <is>
          <t>ANEBY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46104</v>
      </c>
      <c r="E169" s="1" t="n">
        <v>46316</v>
      </c>
      <c r="F169" t="inlineStr">
        <is>
          <t>JÖNKÖPINGS LÄN</t>
        </is>
      </c>
      <c r="G169" t="inlineStr">
        <is>
          <t>ANEBY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46316</v>
      </c>
      <c r="F170" t="inlineStr">
        <is>
          <t>JÖNKÖPINGS LÄN</t>
        </is>
      </c>
      <c r="G170" t="inlineStr">
        <is>
          <t>ANEBY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46316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46316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46105</v>
      </c>
      <c r="E173" s="1" t="n">
        <v>46316</v>
      </c>
      <c r="F173" t="inlineStr">
        <is>
          <t>JÖNKÖPINGS LÄN</t>
        </is>
      </c>
      <c r="G173" t="inlineStr">
        <is>
          <t>ANEBY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45086</v>
      </c>
      <c r="E174" s="1" t="n">
        <v>46316</v>
      </c>
      <c r="F174" t="inlineStr">
        <is>
          <t>JÖNKÖPINGS LÄN</t>
        </is>
      </c>
      <c r="G174" t="inlineStr">
        <is>
          <t>ANEBY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46316</v>
      </c>
      <c r="F175" t="inlineStr">
        <is>
          <t>JÖNKÖPINGS LÄN</t>
        </is>
      </c>
      <c r="G175" t="inlineStr">
        <is>
          <t>ANEBY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46316</v>
      </c>
      <c r="F176" t="inlineStr">
        <is>
          <t>JÖNKÖPINGS LÄN</t>
        </is>
      </c>
      <c r="G176" t="inlineStr">
        <is>
          <t>ANEBY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46316</v>
      </c>
      <c r="F177" t="inlineStr">
        <is>
          <t>JÖNKÖPINGS LÄN</t>
        </is>
      </c>
      <c r="G177" t="inlineStr">
        <is>
          <t>ANEBY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46316</v>
      </c>
      <c r="F178" t="inlineStr">
        <is>
          <t>JÖNKÖPINGS LÄN</t>
        </is>
      </c>
      <c r="G178" t="inlineStr">
        <is>
          <t>ANEBY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46316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46316</v>
      </c>
      <c r="F180" t="inlineStr">
        <is>
          <t>JÖNKÖPINGS LÄN</t>
        </is>
      </c>
      <c r="G180" t="inlineStr">
        <is>
          <t>ANEBY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35773-2023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45148</v>
      </c>
      <c r="E181" s="1" t="n">
        <v>46316</v>
      </c>
      <c r="F181" t="inlineStr">
        <is>
          <t>JÖNKÖPINGS LÄN</t>
        </is>
      </c>
      <c r="G181" t="inlineStr">
        <is>
          <t>ANEBY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46316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46316</v>
      </c>
      <c r="F183" t="inlineStr">
        <is>
          <t>JÖNKÖPINGS LÄN</t>
        </is>
      </c>
      <c r="G183" t="inlineStr">
        <is>
          <t>ANEBY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46316</v>
      </c>
      <c r="F184" t="inlineStr">
        <is>
          <t>JÖNKÖPINGS LÄN</t>
        </is>
      </c>
      <c r="G184" t="inlineStr">
        <is>
          <t>ANEBY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46316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46126</v>
      </c>
      <c r="E186" s="1" t="n">
        <v>46316</v>
      </c>
      <c r="F186" t="inlineStr">
        <is>
          <t>JÖNKÖPINGS LÄN</t>
        </is>
      </c>
      <c r="G186" t="inlineStr">
        <is>
          <t>ANEBY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46316</v>
      </c>
      <c r="F187" t="inlineStr">
        <is>
          <t>JÖNKÖPINGS LÄN</t>
        </is>
      </c>
      <c r="G187" t="inlineStr">
        <is>
          <t>ANEBY</t>
        </is>
      </c>
      <c r="H187" t="inlineStr">
        <is>
          <t>Övriga Aktiebolag</t>
        </is>
      </c>
      <c r="I187" t="n">
        <v>19.6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46316</v>
      </c>
      <c r="F188" t="inlineStr">
        <is>
          <t>JÖNKÖPINGS LÄN</t>
        </is>
      </c>
      <c r="G188" t="inlineStr">
        <is>
          <t>ANEBY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46316</v>
      </c>
      <c r="F189" t="inlineStr">
        <is>
          <t>JÖNKÖPINGS LÄN</t>
        </is>
      </c>
      <c r="G189" t="inlineStr">
        <is>
          <t>ANEBY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46316</v>
      </c>
      <c r="F190" t="inlineStr">
        <is>
          <t>JÖNKÖPINGS LÄN</t>
        </is>
      </c>
      <c r="G190" t="inlineStr">
        <is>
          <t>ANEBY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46316</v>
      </c>
      <c r="F191" t="inlineStr">
        <is>
          <t>JÖNKÖPINGS LÄN</t>
        </is>
      </c>
      <c r="G191" t="inlineStr">
        <is>
          <t>ANEBY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45982</v>
      </c>
      <c r="E192" s="1" t="n">
        <v>46316</v>
      </c>
      <c r="F192" t="inlineStr">
        <is>
          <t>JÖNKÖPINGS LÄN</t>
        </is>
      </c>
      <c r="G192" t="inlineStr">
        <is>
          <t>ANEBY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45688</v>
      </c>
      <c r="E193" s="1" t="n">
        <v>46316</v>
      </c>
      <c r="F193" t="inlineStr">
        <is>
          <t>JÖNKÖPINGS LÄN</t>
        </is>
      </c>
      <c r="G193" t="inlineStr">
        <is>
          <t>ANEBY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46316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46316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46316</v>
      </c>
      <c r="F196" t="inlineStr">
        <is>
          <t>JÖNKÖPINGS LÄN</t>
        </is>
      </c>
      <c r="G196" t="inlineStr">
        <is>
          <t>ANEBY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46316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46316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46316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46316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46316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46316</v>
      </c>
      <c r="F202" t="inlineStr">
        <is>
          <t>JÖNKÖPINGS LÄN</t>
        </is>
      </c>
      <c r="G202" t="inlineStr">
        <is>
          <t>ANEBY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46316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46316</v>
      </c>
      <c r="F204" t="inlineStr">
        <is>
          <t>JÖNKÖPINGS LÄN</t>
        </is>
      </c>
      <c r="G204" t="inlineStr">
        <is>
          <t>ANEBY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46316</v>
      </c>
      <c r="F205" t="inlineStr">
        <is>
          <t>JÖNKÖPINGS LÄN</t>
        </is>
      </c>
      <c r="G205" t="inlineStr">
        <is>
          <t>ANEBY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46316</v>
      </c>
      <c r="F206" t="inlineStr">
        <is>
          <t>JÖNKÖPINGS LÄN</t>
        </is>
      </c>
      <c r="G206" t="inlineStr">
        <is>
          <t>ANEBY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44606</v>
      </c>
      <c r="E207" s="1" t="n">
        <v>46316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46316</v>
      </c>
      <c r="F208" t="inlineStr">
        <is>
          <t>JÖNKÖPINGS LÄN</t>
        </is>
      </c>
      <c r="G208" t="inlineStr">
        <is>
          <t>ANEBY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46316</v>
      </c>
      <c r="F209" t="inlineStr">
        <is>
          <t>JÖNKÖPINGS LÄN</t>
        </is>
      </c>
      <c r="G209" t="inlineStr">
        <is>
          <t>ANEBY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44985</v>
      </c>
      <c r="E210" s="1" t="n">
        <v>46316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44705</v>
      </c>
      <c r="E211" s="1" t="n">
        <v>46316</v>
      </c>
      <c r="F211" t="inlineStr">
        <is>
          <t>JÖNKÖPINGS LÄN</t>
        </is>
      </c>
      <c r="G211" t="inlineStr">
        <is>
          <t>ANEBY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45454</v>
      </c>
      <c r="E212" s="1" t="n">
        <v>46316</v>
      </c>
      <c r="F212" t="inlineStr">
        <is>
          <t>JÖNKÖPINGS LÄN</t>
        </is>
      </c>
      <c r="G212" t="inlineStr">
        <is>
          <t>ANEBY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21356-2026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46147</v>
      </c>
      <c r="E213" s="1" t="n">
        <v>46316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44705</v>
      </c>
      <c r="E214" s="1" t="n">
        <v>46316</v>
      </c>
      <c r="F214" t="inlineStr">
        <is>
          <t>JÖNKÖPINGS LÄN</t>
        </is>
      </c>
      <c r="G214" t="inlineStr">
        <is>
          <t>ANEBY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46316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46316</v>
      </c>
      <c r="F216" t="inlineStr">
        <is>
          <t>JÖNKÖPINGS LÄN</t>
        </is>
      </c>
      <c r="G216" t="inlineStr">
        <is>
          <t>ANEBY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46316</v>
      </c>
      <c r="F217" t="inlineStr">
        <is>
          <t>JÖNKÖPINGS LÄN</t>
        </is>
      </c>
      <c r="G217" t="inlineStr">
        <is>
          <t>ANEBY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46316</v>
      </c>
      <c r="F218" t="inlineStr">
        <is>
          <t>JÖNKÖPINGS LÄN</t>
        </is>
      </c>
      <c r="G218" t="inlineStr">
        <is>
          <t>ANEBY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46316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46316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46316</v>
      </c>
      <c r="F221" t="inlineStr">
        <is>
          <t>JÖNKÖPINGS LÄN</t>
        </is>
      </c>
      <c r="G221" t="inlineStr">
        <is>
          <t>ANEBY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46316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46316</v>
      </c>
      <c r="F223" t="inlineStr">
        <is>
          <t>JÖNKÖPINGS LÄN</t>
        </is>
      </c>
      <c r="G223" t="inlineStr">
        <is>
          <t>ANEBY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46316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46316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46316</v>
      </c>
      <c r="F226" t="inlineStr">
        <is>
          <t>JÖNKÖPINGS LÄN</t>
        </is>
      </c>
      <c r="G226" t="inlineStr">
        <is>
          <t>ANEBY</t>
        </is>
      </c>
      <c r="H226" t="inlineStr">
        <is>
          <t>Sveaskog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46316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45372</v>
      </c>
      <c r="E228" s="1" t="n">
        <v>46316</v>
      </c>
      <c r="F228" t="inlineStr">
        <is>
          <t>JÖNKÖPINGS LÄN</t>
        </is>
      </c>
      <c r="G228" t="inlineStr">
        <is>
          <t>ANEBY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46316</v>
      </c>
      <c r="F229" t="inlineStr">
        <is>
          <t>JÖNKÖPINGS LÄN</t>
        </is>
      </c>
      <c r="G229" t="inlineStr">
        <is>
          <t>ANEBY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46316</v>
      </c>
      <c r="F230" t="inlineStr">
        <is>
          <t>JÖNKÖPINGS LÄN</t>
        </is>
      </c>
      <c r="G230" t="inlineStr">
        <is>
          <t>ANEBY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44952</v>
      </c>
      <c r="E231" s="1" t="n">
        <v>46316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46316</v>
      </c>
      <c r="F232" t="inlineStr">
        <is>
          <t>JÖNKÖPINGS LÄN</t>
        </is>
      </c>
      <c r="G232" t="inlineStr">
        <is>
          <t>ANEBY</t>
        </is>
      </c>
      <c r="I232" t="n">
        <v>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46316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44623</v>
      </c>
      <c r="E234" s="1" t="n">
        <v>46316</v>
      </c>
      <c r="F234" t="inlineStr">
        <is>
          <t>JÖNKÖPINGS LÄN</t>
        </is>
      </c>
      <c r="G234" t="inlineStr">
        <is>
          <t>ANEBY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45076</v>
      </c>
      <c r="E235" s="1" t="n">
        <v>46316</v>
      </c>
      <c r="F235" t="inlineStr">
        <is>
          <t>JÖNKÖPINGS LÄN</t>
        </is>
      </c>
      <c r="G235" t="inlineStr">
        <is>
          <t>ANEBY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46316</v>
      </c>
      <c r="F236" t="inlineStr">
        <is>
          <t>JÖNKÖPINGS LÄN</t>
        </is>
      </c>
      <c r="G236" t="inlineStr">
        <is>
          <t>ANEBY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46316</v>
      </c>
      <c r="F237" t="inlineStr">
        <is>
          <t>JÖNKÖPINGS LÄN</t>
        </is>
      </c>
      <c r="G237" t="inlineStr">
        <is>
          <t>ANEBY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46316</v>
      </c>
      <c r="F238" t="inlineStr">
        <is>
          <t>JÖNKÖPINGS LÄN</t>
        </is>
      </c>
      <c r="G238" t="inlineStr">
        <is>
          <t>ANEBY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45467</v>
      </c>
      <c r="E239" s="1" t="n">
        <v>46316</v>
      </c>
      <c r="F239" t="inlineStr">
        <is>
          <t>JÖNKÖPINGS LÄN</t>
        </is>
      </c>
      <c r="G239" t="inlineStr">
        <is>
          <t>ANEBY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HYPERLINK("https://klasma.github.io/Logging_0604/knärot/A 25963-2024 karta knärot.png", "A 25963-2024")</f>
        <v/>
      </c>
      <c r="AA239">
        <f>HYPERLINK("https://klasma.github.io/Logging_0604/klagomål/A 25963-2024 FSC-klagomål.docx", "A 25963-2024")</f>
        <v/>
      </c>
      <c r="AB239">
        <f>HYPERLINK("https://klasma.github.io/Logging_0604/klagomålsmail/A 25963-2024 FSC-klagomål mail.docx", "A 25963-2024")</f>
        <v/>
      </c>
      <c r="AC239">
        <f>HYPERLINK("https://klasma.github.io/Logging_0604/tillsyn/A 25963-2024 tillsynsbegäran.docx", "A 25963-2024")</f>
        <v/>
      </c>
      <c r="AD239">
        <f>HYPERLINK("https://klasma.github.io/Logging_0604/tillsynsmail/A 25963-2024 tillsynsbegäran mail.docx", "A 25963-2024")</f>
        <v/>
      </c>
    </row>
    <row r="240" ht="15" customHeight="1">
      <c r="A240" t="inlineStr">
        <is>
          <t>A 21812-2023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46316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45033</v>
      </c>
      <c r="E241" s="1" t="n">
        <v>46316</v>
      </c>
      <c r="F241" t="inlineStr">
        <is>
          <t>JÖNKÖPINGS LÄN</t>
        </is>
      </c>
      <c r="G241" t="inlineStr">
        <is>
          <t>ANEBY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46316</v>
      </c>
      <c r="F242" t="inlineStr">
        <is>
          <t>JÖNKÖPINGS LÄN</t>
        </is>
      </c>
      <c r="G242" t="inlineStr">
        <is>
          <t>ANEBY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46316</v>
      </c>
      <c r="F243" t="inlineStr">
        <is>
          <t>JÖNKÖPINGS LÄN</t>
        </is>
      </c>
      <c r="G243" t="inlineStr">
        <is>
          <t>ANEBY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46316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46316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46316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46316</v>
      </c>
      <c r="F247" t="inlineStr">
        <is>
          <t>JÖNKÖPINGS LÄN</t>
        </is>
      </c>
      <c r="G247" t="inlineStr">
        <is>
          <t>ANEBY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46316</v>
      </c>
      <c r="F248" t="inlineStr">
        <is>
          <t>JÖNKÖPINGS LÄN</t>
        </is>
      </c>
      <c r="G248" t="inlineStr">
        <is>
          <t>ANEBY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46316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46316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46316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44721</v>
      </c>
      <c r="E252" s="1" t="n">
        <v>46316</v>
      </c>
      <c r="F252" t="inlineStr">
        <is>
          <t>JÖNKÖPINGS LÄN</t>
        </is>
      </c>
      <c r="G252" t="inlineStr">
        <is>
          <t>ANEBY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46316</v>
      </c>
      <c r="F253" t="inlineStr">
        <is>
          <t>JÖNKÖPINGS LÄN</t>
        </is>
      </c>
      <c r="G253" t="inlineStr">
        <is>
          <t>ANEBY</t>
        </is>
      </c>
      <c r="H253" t="inlineStr">
        <is>
          <t>Kyrkan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54213-2024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45616</v>
      </c>
      <c r="E254" s="1" t="n">
        <v>46316</v>
      </c>
      <c r="F254" t="inlineStr">
        <is>
          <t>JÖNKÖPINGS LÄN</t>
        </is>
      </c>
      <c r="G254" t="inlineStr">
        <is>
          <t>ANEBY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46316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46316</v>
      </c>
      <c r="F256" t="inlineStr">
        <is>
          <t>JÖNKÖPINGS LÄN</t>
        </is>
      </c>
      <c r="G256" t="inlineStr">
        <is>
          <t>ANEBY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46316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46316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46316</v>
      </c>
      <c r="F259" t="inlineStr">
        <is>
          <t>JÖNKÖPINGS LÄN</t>
        </is>
      </c>
      <c r="G259" t="inlineStr">
        <is>
          <t>ANEBY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43613-2023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45184</v>
      </c>
      <c r="E260" s="1" t="n">
        <v>46316</v>
      </c>
      <c r="F260" t="inlineStr">
        <is>
          <t>JÖNKÖPINGS LÄN</t>
        </is>
      </c>
      <c r="G260" t="inlineStr">
        <is>
          <t>ANEBY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12477-2023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44999</v>
      </c>
      <c r="E261" s="1" t="n">
        <v>46316</v>
      </c>
      <c r="F261" t="inlineStr">
        <is>
          <t>JÖNKÖPINGS LÄN</t>
        </is>
      </c>
      <c r="G261" t="inlineStr">
        <is>
          <t>ANEBY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46316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46316</v>
      </c>
      <c r="F263" t="inlineStr">
        <is>
          <t>JÖNKÖPINGS LÄN</t>
        </is>
      </c>
      <c r="G263" t="inlineStr">
        <is>
          <t>ANEBY</t>
        </is>
      </c>
      <c r="I263" t="n">
        <v>13.8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46316</v>
      </c>
      <c r="F264" t="inlineStr">
        <is>
          <t>JÖNKÖPINGS LÄN</t>
        </is>
      </c>
      <c r="G264" t="inlineStr">
        <is>
          <t>ANEBY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46214</v>
      </c>
      <c r="E265" s="1" t="n">
        <v>46316</v>
      </c>
      <c r="F265" t="inlineStr">
        <is>
          <t>JÖNKÖPINGS LÄN</t>
        </is>
      </c>
      <c r="G265" t="inlineStr">
        <is>
          <t>ANEBY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46316</v>
      </c>
      <c r="F266" t="inlineStr">
        <is>
          <t>JÖNKÖPINGS LÄN</t>
        </is>
      </c>
      <c r="G266" t="inlineStr">
        <is>
          <t>ANEBY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46316</v>
      </c>
      <c r="F267" t="inlineStr">
        <is>
          <t>JÖNKÖPINGS LÄN</t>
        </is>
      </c>
      <c r="G267" t="inlineStr">
        <is>
          <t>ANEBY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44957</v>
      </c>
      <c r="E268" s="1" t="n">
        <v>46316</v>
      </c>
      <c r="F268" t="inlineStr">
        <is>
          <t>JÖNKÖPINGS LÄN</t>
        </is>
      </c>
      <c r="G268" t="inlineStr">
        <is>
          <t>ANEBY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45275</v>
      </c>
      <c r="E269" s="1" t="n">
        <v>46316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46224</v>
      </c>
      <c r="E270" s="1" t="n">
        <v>46316</v>
      </c>
      <c r="F270" t="inlineStr">
        <is>
          <t>JÖNKÖPINGS LÄN</t>
        </is>
      </c>
      <c r="G270" t="inlineStr">
        <is>
          <t>ANEBY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46316</v>
      </c>
      <c r="F271" t="inlineStr">
        <is>
          <t>JÖNKÖPINGS LÄN</t>
        </is>
      </c>
      <c r="G271" t="inlineStr">
        <is>
          <t>ANEBY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45304</v>
      </c>
      <c r="E272" s="1" t="n">
        <v>46316</v>
      </c>
      <c r="F272" t="inlineStr">
        <is>
          <t>JÖNKÖPINGS LÄN</t>
        </is>
      </c>
      <c r="G272" t="inlineStr">
        <is>
          <t>ANEBY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44578</v>
      </c>
      <c r="E273" s="1" t="n">
        <v>46316</v>
      </c>
      <c r="F273" t="inlineStr">
        <is>
          <t>JÖNKÖPINGS LÄN</t>
        </is>
      </c>
      <c r="G273" t="inlineStr">
        <is>
          <t>ANEBY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45468</v>
      </c>
      <c r="E274" s="1" t="n">
        <v>46316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46316</v>
      </c>
      <c r="F275" t="inlineStr">
        <is>
          <t>JÖNKÖPINGS LÄN</t>
        </is>
      </c>
      <c r="G275" t="inlineStr">
        <is>
          <t>ANEBY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46283</v>
      </c>
      <c r="E276" s="1" t="n">
        <v>46316</v>
      </c>
      <c r="F276" t="inlineStr">
        <is>
          <t>JÖNKÖPINGS LÄN</t>
        </is>
      </c>
      <c r="G276" t="inlineStr">
        <is>
          <t>ANEBY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46316</v>
      </c>
      <c r="F277" t="inlineStr">
        <is>
          <t>JÖNKÖPINGS LÄN</t>
        </is>
      </c>
      <c r="G277" t="inlineStr">
        <is>
          <t>ANEBY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46316</v>
      </c>
      <c r="F278" t="inlineStr">
        <is>
          <t>JÖNKÖPINGS LÄN</t>
        </is>
      </c>
      <c r="G278" t="inlineStr">
        <is>
          <t>ANEBY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10155-2024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45364</v>
      </c>
      <c r="E279" s="1" t="n">
        <v>46316</v>
      </c>
      <c r="F279" t="inlineStr">
        <is>
          <t>JÖNKÖPINGS LÄN</t>
        </is>
      </c>
      <c r="G279" t="inlineStr">
        <is>
          <t>ANEBY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46316</v>
      </c>
      <c r="F280" t="inlineStr">
        <is>
          <t>JÖNKÖPINGS LÄN</t>
        </is>
      </c>
      <c r="G280" t="inlineStr">
        <is>
          <t>ANEBY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46316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46316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46316</v>
      </c>
      <c r="F283" t="inlineStr">
        <is>
          <t>JÖNKÖPINGS LÄN</t>
        </is>
      </c>
      <c r="G283" t="inlineStr">
        <is>
          <t>ANEBY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46286</v>
      </c>
      <c r="E284" s="1" t="n">
        <v>46316</v>
      </c>
      <c r="F284" t="inlineStr">
        <is>
          <t>JÖNKÖPINGS LÄN</t>
        </is>
      </c>
      <c r="G284" t="inlineStr">
        <is>
          <t>ANEBY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46286</v>
      </c>
      <c r="E285" s="1" t="n">
        <v>46316</v>
      </c>
      <c r="F285" t="inlineStr">
        <is>
          <t>JÖNKÖPINGS LÄN</t>
        </is>
      </c>
      <c r="G285" t="inlineStr">
        <is>
          <t>ANEBY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11353-2024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46316</v>
      </c>
      <c r="F286" t="inlineStr">
        <is>
          <t>JÖNKÖPINGS LÄN</t>
        </is>
      </c>
      <c r="G286" t="inlineStr">
        <is>
          <t>ANEBY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44620</v>
      </c>
      <c r="E287" s="1" t="n">
        <v>46316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10456-2023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44981</v>
      </c>
      <c r="E288" s="1" t="n">
        <v>46316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12533-2024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45379</v>
      </c>
      <c r="E289" s="1" t="n">
        <v>46316</v>
      </c>
      <c r="F289" t="inlineStr">
        <is>
          <t>JÖNKÖPINGS LÄN</t>
        </is>
      </c>
      <c r="G289" t="inlineStr">
        <is>
          <t>ANEBY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46316</v>
      </c>
      <c r="F290" t="inlineStr">
        <is>
          <t>JÖNKÖPINGS LÄN</t>
        </is>
      </c>
      <c r="G290" t="inlineStr">
        <is>
          <t>ANEBY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44671</v>
      </c>
      <c r="E291" s="1" t="n">
        <v>46316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46316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46316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46316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46316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46316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46316</v>
      </c>
      <c r="F297" t="inlineStr">
        <is>
          <t>JÖNKÖPINGS LÄN</t>
        </is>
      </c>
      <c r="G297" t="inlineStr">
        <is>
          <t>ANEBY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34850-2026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46255</v>
      </c>
      <c r="E298" s="1" t="n">
        <v>46316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46316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46316</v>
      </c>
      <c r="F300" t="inlineStr">
        <is>
          <t>JÖNKÖPINGS LÄN</t>
        </is>
      </c>
      <c r="G300" t="inlineStr">
        <is>
          <t>ANEBY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46316</v>
      </c>
      <c r="F301" t="inlineStr">
        <is>
          <t>JÖNKÖPINGS LÄN</t>
        </is>
      </c>
      <c r="G301" t="inlineStr">
        <is>
          <t>ANEBY</t>
        </is>
      </c>
      <c r="H301" t="inlineStr">
        <is>
          <t>Kyrkan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46316</v>
      </c>
      <c r="F302" t="inlineStr">
        <is>
          <t>JÖNKÖPINGS LÄN</t>
        </is>
      </c>
      <c r="G302" t="inlineStr">
        <is>
          <t>ANEBY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46316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67414-2021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46316</v>
      </c>
      <c r="F304" t="inlineStr">
        <is>
          <t>JÖNKÖPINGS LÄN</t>
        </is>
      </c>
      <c r="G304" t="inlineStr">
        <is>
          <t>ANEBY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46316</v>
      </c>
      <c r="F305" t="inlineStr">
        <is>
          <t>JÖNKÖPINGS LÄN</t>
        </is>
      </c>
      <c r="G305" t="inlineStr">
        <is>
          <t>ANEBY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59507-2022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44900</v>
      </c>
      <c r="E306" s="1" t="n">
        <v>46316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23354-2023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45076</v>
      </c>
      <c r="E307" s="1" t="n">
        <v>46316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24784-2024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45460</v>
      </c>
      <c r="E308" s="1" t="n">
        <v>46316</v>
      </c>
      <c r="F308" t="inlineStr">
        <is>
          <t>JÖNKÖPINGS LÄN</t>
        </is>
      </c>
      <c r="G308" t="inlineStr">
        <is>
          <t>ANEBY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46302</v>
      </c>
      <c r="E309" s="1" t="n">
        <v>46316</v>
      </c>
      <c r="F309" t="inlineStr">
        <is>
          <t>JÖNKÖPINGS LÄN</t>
        </is>
      </c>
      <c r="G309" t="inlineStr">
        <is>
          <t>ANEBY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37343-2023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45156</v>
      </c>
      <c r="E310" s="1" t="n">
        <v>46316</v>
      </c>
      <c r="F310" t="inlineStr">
        <is>
          <t>JÖNKÖPINGS LÄN</t>
        </is>
      </c>
      <c r="G310" t="inlineStr">
        <is>
          <t>ANEBY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46316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46302</v>
      </c>
      <c r="E312" s="1" t="n">
        <v>46316</v>
      </c>
      <c r="F312" t="inlineStr">
        <is>
          <t>JÖNKÖPINGS LÄN</t>
        </is>
      </c>
      <c r="G312" t="inlineStr">
        <is>
          <t>ANEBY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45077</v>
      </c>
      <c r="E313" s="1" t="n">
        <v>46316</v>
      </c>
      <c r="F313" t="inlineStr">
        <is>
          <t>JÖNKÖPINGS LÄN</t>
        </is>
      </c>
      <c r="G313" t="inlineStr">
        <is>
          <t>ANEBY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46316</v>
      </c>
      <c r="F314" t="inlineStr">
        <is>
          <t>JÖNKÖPINGS LÄN</t>
        </is>
      </c>
      <c r="G314" t="inlineStr">
        <is>
          <t>ANEBY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38794-2023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45161</v>
      </c>
      <c r="E315" s="1" t="n">
        <v>46316</v>
      </c>
      <c r="F315" t="inlineStr">
        <is>
          <t>JÖNKÖPINGS LÄN</t>
        </is>
      </c>
      <c r="G315" t="inlineStr">
        <is>
          <t>ANEBY</t>
        </is>
      </c>
      <c r="H315" t="inlineStr">
        <is>
          <t>Övriga Aktiebolag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46302</v>
      </c>
      <c r="E316" s="1" t="n">
        <v>46316</v>
      </c>
      <c r="F316" t="inlineStr">
        <is>
          <t>JÖNKÖPINGS LÄN</t>
        </is>
      </c>
      <c r="G316" t="inlineStr">
        <is>
          <t>ANEBY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45028</v>
      </c>
      <c r="E317" s="1" t="n">
        <v>46316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46316</v>
      </c>
      <c r="F318" t="inlineStr">
        <is>
          <t>JÖNKÖPINGS LÄN</t>
        </is>
      </c>
      <c r="G318" t="inlineStr">
        <is>
          <t>ANEBY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46316</v>
      </c>
      <c r="F319" t="inlineStr">
        <is>
          <t>JÖNKÖPINGS LÄN</t>
        </is>
      </c>
      <c r="G319" t="inlineStr">
        <is>
          <t>ANEBY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46316</v>
      </c>
      <c r="F320" t="inlineStr">
        <is>
          <t>JÖNKÖPINGS LÄN</t>
        </is>
      </c>
      <c r="G320" t="inlineStr">
        <is>
          <t>ANEBY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46316</v>
      </c>
      <c r="F321" t="inlineStr">
        <is>
          <t>JÖNKÖPINGS LÄN</t>
        </is>
      </c>
      <c r="G321" t="inlineStr">
        <is>
          <t>ANEBY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44978</v>
      </c>
      <c r="E322" s="1" t="n">
        <v>46316</v>
      </c>
      <c r="F322" t="inlineStr">
        <is>
          <t>JÖNKÖPINGS LÄN</t>
        </is>
      </c>
      <c r="G322" t="inlineStr">
        <is>
          <t>ANEBY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46316</v>
      </c>
      <c r="F323" t="inlineStr">
        <is>
          <t>JÖNKÖPINGS LÄN</t>
        </is>
      </c>
      <c r="G323" t="inlineStr">
        <is>
          <t>ANEBY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46316</v>
      </c>
      <c r="F324" t="inlineStr">
        <is>
          <t>JÖNKÖPINGS LÄN</t>
        </is>
      </c>
      <c r="G324" t="inlineStr">
        <is>
          <t>ANEBY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46316</v>
      </c>
      <c r="F325" t="inlineStr">
        <is>
          <t>JÖNKÖPINGS LÄN</t>
        </is>
      </c>
      <c r="G325" t="inlineStr">
        <is>
          <t>ANEBY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45378</v>
      </c>
      <c r="E326" s="1" t="n">
        <v>46316</v>
      </c>
      <c r="F326" t="inlineStr">
        <is>
          <t>JÖNKÖPINGS LÄN</t>
        </is>
      </c>
      <c r="G326" t="inlineStr">
        <is>
          <t>ANEBY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46316</v>
      </c>
      <c r="F327" t="inlineStr">
        <is>
          <t>JÖNKÖPINGS LÄN</t>
        </is>
      </c>
      <c r="G327" t="inlineStr">
        <is>
          <t>ANEBY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46316</v>
      </c>
      <c r="F328" t="inlineStr">
        <is>
          <t>JÖNKÖPINGS LÄN</t>
        </is>
      </c>
      <c r="G328" t="inlineStr">
        <is>
          <t>ANEBY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46316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46316</v>
      </c>
      <c r="F330" t="inlineStr">
        <is>
          <t>JÖNKÖPINGS LÄN</t>
        </is>
      </c>
      <c r="G330" t="inlineStr">
        <is>
          <t>ANEBY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46316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46316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46316</v>
      </c>
      <c r="F333" t="inlineStr">
        <is>
          <t>JÖNKÖPINGS LÄN</t>
        </is>
      </c>
      <c r="G333" t="inlineStr">
        <is>
          <t>ANEBY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46316</v>
      </c>
      <c r="F334" t="inlineStr">
        <is>
          <t>JÖNKÖPINGS LÄN</t>
        </is>
      </c>
      <c r="G334" t="inlineStr">
        <is>
          <t>ANEBY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46316</v>
      </c>
      <c r="F335" t="inlineStr">
        <is>
          <t>JÖNKÖPINGS LÄN</t>
        </is>
      </c>
      <c r="G335" t="inlineStr">
        <is>
          <t>ANEBY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46273</v>
      </c>
      <c r="E336" s="1" t="n">
        <v>46316</v>
      </c>
      <c r="F336" t="inlineStr">
        <is>
          <t>JÖNKÖPINGS LÄN</t>
        </is>
      </c>
      <c r="G336" t="inlineStr">
        <is>
          <t>ANEBY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46316</v>
      </c>
      <c r="F337" t="inlineStr">
        <is>
          <t>JÖNKÖPINGS LÄN</t>
        </is>
      </c>
      <c r="G337" t="inlineStr">
        <is>
          <t>ANEBY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46316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46316</v>
      </c>
      <c r="F339" t="inlineStr">
        <is>
          <t>JÖNKÖPINGS LÄN</t>
        </is>
      </c>
      <c r="G339" t="inlineStr">
        <is>
          <t>ANEBY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46316</v>
      </c>
      <c r="F340" t="inlineStr">
        <is>
          <t>JÖNKÖPINGS LÄN</t>
        </is>
      </c>
      <c r="G340" t="inlineStr">
        <is>
          <t>ANEBY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46316</v>
      </c>
      <c r="F341" t="inlineStr">
        <is>
          <t>JÖNKÖPINGS LÄN</t>
        </is>
      </c>
      <c r="G341" t="inlineStr">
        <is>
          <t>ANEBY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50069-2024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46316</v>
      </c>
      <c r="F342" t="inlineStr">
        <is>
          <t>JÖNKÖPINGS LÄN</t>
        </is>
      </c>
      <c r="G342" t="inlineStr">
        <is>
          <t>ANEBY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45161</v>
      </c>
      <c r="E343" s="1" t="n">
        <v>46316</v>
      </c>
      <c r="F343" t="inlineStr">
        <is>
          <t>JÖNKÖPINGS LÄN</t>
        </is>
      </c>
      <c r="G343" t="inlineStr">
        <is>
          <t>ANEBY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44565</v>
      </c>
      <c r="E344" s="1" t="n">
        <v>46316</v>
      </c>
      <c r="F344" t="inlineStr">
        <is>
          <t>JÖNKÖPINGS LÄN</t>
        </is>
      </c>
      <c r="G344" t="inlineStr">
        <is>
          <t>ANEBY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46316</v>
      </c>
      <c r="F345" t="inlineStr">
        <is>
          <t>JÖNKÖPINGS LÄN</t>
        </is>
      </c>
      <c r="G345" t="inlineStr">
        <is>
          <t>ANEBY</t>
        </is>
      </c>
      <c r="H345" t="inlineStr">
        <is>
          <t>Kyrkan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45001</v>
      </c>
      <c r="E346" s="1" t="n">
        <v>46316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46316</v>
      </c>
      <c r="F347" t="inlineStr">
        <is>
          <t>JÖNKÖPINGS LÄN</t>
        </is>
      </c>
      <c r="G347" t="inlineStr">
        <is>
          <t>ANEBY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46316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46316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46316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46316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46316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46316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46316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46316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46316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46316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46316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46316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46316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2026-10-21T02:05:09Z</dcterms:created>
  <dcterms:modified xmlns:dcterms="http://purl.org/dc/terms/" xmlns:xsi="http://www.w3.org/2001/XMLSchema-instance" xsi:type="dcterms:W3CDTF">2026-10-21T02:05:10Z</dcterms:modified>
</cp:coreProperties>
</file>