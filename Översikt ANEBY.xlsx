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46237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46237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46237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46237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46237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46237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46237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46237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46237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46237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46237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46237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46237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46237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46237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46237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46237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46237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46237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46237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46237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46237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46237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46237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46237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46237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46237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46237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HYPERLINK("https://klasma.github.io/Logging_0604/artfynd/A 25875-2024 artfynd.xlsx", "A 25875-2024")</f>
        <v/>
      </c>
      <c r="X40">
        <f>HYPERLINK("https://klasma.github.io/Logging_0604/kartor/A 25875-2024 karta.png", "A 25875-2024")</f>
        <v/>
      </c>
      <c r="Y40">
        <f>HYPERLINK("https://klasma.github.io/Logging_0604/kartor_geotiff/A 25875-2024 georefererad karta.tif", "A 25875-2024")</f>
        <v/>
      </c>
      <c r="AA40">
        <f>HYPERLINK("https://klasma.github.io/Logging_0604/klagomål/A 25875-2024 FSC-klagomål.docx", "A 25875-2024")</f>
        <v/>
      </c>
      <c r="AB40">
        <f>HYPERLINK("https://klasma.github.io/Logging_0604/klagomålsmail/A 25875-2024 FSC-klagomål mail.docx", "A 25875-2024")</f>
        <v/>
      </c>
      <c r="AC40">
        <f>HYPERLINK("https://klasma.github.io/Logging_0604/tillsyn/A 25875-2024 tillsynsbegäran.docx", "A 25875-2024")</f>
        <v/>
      </c>
      <c r="AD40">
        <f>HYPERLINK("https://klasma.github.io/Logging_0604/tillsynsmail/A 25875-2024 tillsynsbegäran mail.docx", "A 25875-2024")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46237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46237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46237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46237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46237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46237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46237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46237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46237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46237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46237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46237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46237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46237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46237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46237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46237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46237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46237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46237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46237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46237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46237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46237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67414-2021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46237</v>
      </c>
      <c r="F71" t="inlineStr">
        <is>
          <t>JÖNKÖPINGS LÄN</t>
        </is>
      </c>
      <c r="G71" t="inlineStr">
        <is>
          <t>ANEBY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46237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46237</v>
      </c>
      <c r="F73" t="inlineStr">
        <is>
          <t>JÖNKÖPINGS LÄN</t>
        </is>
      </c>
      <c r="G73" t="inlineStr">
        <is>
          <t>ANEBY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46237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46237</v>
      </c>
      <c r="F75" t="inlineStr">
        <is>
          <t>JÖNKÖPINGS LÄN</t>
        </is>
      </c>
      <c r="G75" t="inlineStr">
        <is>
          <t>ANEBY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46237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44985</v>
      </c>
      <c r="E77" s="1" t="n">
        <v>46237</v>
      </c>
      <c r="F77" t="inlineStr">
        <is>
          <t>JÖNKÖPINGS LÄN</t>
        </is>
      </c>
      <c r="G77" t="inlineStr">
        <is>
          <t>ANEBY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46237</v>
      </c>
      <c r="F78" t="inlineStr">
        <is>
          <t>JÖNKÖPINGS LÄN</t>
        </is>
      </c>
      <c r="G78" t="inlineStr">
        <is>
          <t>ANEBY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46237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46237</v>
      </c>
      <c r="F80" t="inlineStr">
        <is>
          <t>JÖNKÖPINGS LÄN</t>
        </is>
      </c>
      <c r="G80" t="inlineStr">
        <is>
          <t>ANEBY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46237</v>
      </c>
      <c r="F81" t="inlineStr">
        <is>
          <t>JÖNKÖPINGS LÄN</t>
        </is>
      </c>
      <c r="G81" t="inlineStr">
        <is>
          <t>ANEBY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46237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46237</v>
      </c>
      <c r="F83" t="inlineStr">
        <is>
          <t>JÖNKÖPINGS LÄN</t>
        </is>
      </c>
      <c r="G83" t="inlineStr">
        <is>
          <t>ANEBY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44890</v>
      </c>
      <c r="E84" s="1" t="n">
        <v>46237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46237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46237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46237</v>
      </c>
      <c r="F87" t="inlineStr">
        <is>
          <t>JÖNKÖPINGS LÄN</t>
        </is>
      </c>
      <c r="G87" t="inlineStr">
        <is>
          <t>ANEBY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46237</v>
      </c>
      <c r="F88" t="inlineStr">
        <is>
          <t>JÖNKÖPINGS LÄN</t>
        </is>
      </c>
      <c r="G88" t="inlineStr">
        <is>
          <t>ANEBY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46237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  <c r="Z89">
        <f>HYPERLINK("https://klasma.github.io/Logging_0604/knärot/A 25963-2024 karta knärot.png", "A 25963-2024")</f>
        <v/>
      </c>
      <c r="AA89">
        <f>HYPERLINK("https://klasma.github.io/Logging_0604/klagomål/A 25963-2024 FSC-klagomål.docx", "A 25963-2024")</f>
        <v/>
      </c>
      <c r="AB89">
        <f>HYPERLINK("https://klasma.github.io/Logging_0604/klagomålsmail/A 25963-2024 FSC-klagomål mail.docx", "A 25963-2024")</f>
        <v/>
      </c>
      <c r="AC89">
        <f>HYPERLINK("https://klasma.github.io/Logging_0604/tillsyn/A 25963-2024 tillsynsbegäran.docx", "A 25963-2024")</f>
        <v/>
      </c>
      <c r="AD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45156</v>
      </c>
      <c r="E90" s="1" t="n">
        <v>46237</v>
      </c>
      <c r="F90" t="inlineStr">
        <is>
          <t>JÖNKÖPINGS LÄN</t>
        </is>
      </c>
      <c r="G90" t="inlineStr">
        <is>
          <t>ANEBY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46237</v>
      </c>
      <c r="F91" t="inlineStr">
        <is>
          <t>JÖNKÖPINGS LÄN</t>
        </is>
      </c>
      <c r="G91" t="inlineStr">
        <is>
          <t>ANEBY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46237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46237</v>
      </c>
      <c r="F93" t="inlineStr">
        <is>
          <t>JÖNKÖPINGS LÄN</t>
        </is>
      </c>
      <c r="G93" t="inlineStr">
        <is>
          <t>ANEBY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44957</v>
      </c>
      <c r="E94" s="1" t="n">
        <v>46237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45148</v>
      </c>
      <c r="E95" s="1" t="n">
        <v>46237</v>
      </c>
      <c r="F95" t="inlineStr">
        <is>
          <t>JÖNKÖPINGS LÄN</t>
        </is>
      </c>
      <c r="G95" t="inlineStr">
        <is>
          <t>ANEBY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46237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46237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46237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46237</v>
      </c>
      <c r="F99" t="inlineStr">
        <is>
          <t>JÖNKÖPINGS LÄN</t>
        </is>
      </c>
      <c r="G99" t="inlineStr">
        <is>
          <t>ANEBY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49427-2023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46237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46237</v>
      </c>
      <c r="F101" t="inlineStr">
        <is>
          <t>JÖNKÖPINGS LÄN</t>
        </is>
      </c>
      <c r="G101" t="inlineStr">
        <is>
          <t>ANEBY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46237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46237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46237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12477-2023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44999</v>
      </c>
      <c r="E105" s="1" t="n">
        <v>46237</v>
      </c>
      <c r="F105" t="inlineStr">
        <is>
          <t>JÖNKÖPINGS LÄN</t>
        </is>
      </c>
      <c r="G105" t="inlineStr">
        <is>
          <t>ANEBY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46237</v>
      </c>
      <c r="F106" t="inlineStr">
        <is>
          <t>JÖNKÖPINGS LÄN</t>
        </is>
      </c>
      <c r="G106" t="inlineStr">
        <is>
          <t>ANEBY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46237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46237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46237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46237</v>
      </c>
      <c r="F110" t="inlineStr">
        <is>
          <t>JÖNKÖPINGS LÄN</t>
        </is>
      </c>
      <c r="G110" t="inlineStr">
        <is>
          <t>ANEBY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46237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46237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46237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46237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46237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46237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44860</v>
      </c>
      <c r="E117" s="1" t="n">
        <v>46237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46237</v>
      </c>
      <c r="F118" t="inlineStr">
        <is>
          <t>JÖNKÖPINGS LÄN</t>
        </is>
      </c>
      <c r="G118" t="inlineStr">
        <is>
          <t>ANEBY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46237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46237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46237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46237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46237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46237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44888</v>
      </c>
      <c r="E125" s="1" t="n">
        <v>46237</v>
      </c>
      <c r="F125" t="inlineStr">
        <is>
          <t>JÖNKÖPINGS LÄN</t>
        </is>
      </c>
      <c r="G125" t="inlineStr">
        <is>
          <t>ANEBY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46237</v>
      </c>
      <c r="F126" t="inlineStr">
        <is>
          <t>JÖNKÖPINGS LÄN</t>
        </is>
      </c>
      <c r="G126" t="inlineStr">
        <is>
          <t>ANEBY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46237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46237</v>
      </c>
      <c r="F128" t="inlineStr">
        <is>
          <t>JÖNKÖPINGS LÄN</t>
        </is>
      </c>
      <c r="G128" t="inlineStr">
        <is>
          <t>ANEBY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46237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46237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46237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43528-2025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45911</v>
      </c>
      <c r="E132" s="1" t="n">
        <v>46237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45300</v>
      </c>
      <c r="E133" s="1" t="n">
        <v>46237</v>
      </c>
      <c r="F133" t="inlineStr">
        <is>
          <t>JÖNKÖPINGS LÄN</t>
        </is>
      </c>
      <c r="G133" t="inlineStr">
        <is>
          <t>ANEBY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46237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46237</v>
      </c>
      <c r="F135" t="inlineStr">
        <is>
          <t>JÖNKÖPINGS LÄN</t>
        </is>
      </c>
      <c r="G135" t="inlineStr">
        <is>
          <t>ANEBY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46237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45727</v>
      </c>
      <c r="E137" s="1" t="n">
        <v>46237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46237</v>
      </c>
      <c r="F138" t="inlineStr">
        <is>
          <t>JÖNKÖPINGS LÄN</t>
        </is>
      </c>
      <c r="G138" t="inlineStr">
        <is>
          <t>ANEBY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46237</v>
      </c>
      <c r="F139" t="inlineStr">
        <is>
          <t>JÖNKÖPINGS LÄN</t>
        </is>
      </c>
      <c r="G139" t="inlineStr">
        <is>
          <t>ANEBY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46237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46237</v>
      </c>
      <c r="F141" t="inlineStr">
        <is>
          <t>JÖNKÖPINGS LÄN</t>
        </is>
      </c>
      <c r="G141" t="inlineStr">
        <is>
          <t>ANEBY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46237</v>
      </c>
      <c r="F142" t="inlineStr">
        <is>
          <t>JÖNKÖPINGS LÄN</t>
        </is>
      </c>
      <c r="G142" t="inlineStr">
        <is>
          <t>ANEBY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46237</v>
      </c>
      <c r="F143" t="inlineStr">
        <is>
          <t>JÖNKÖPINGS LÄN</t>
        </is>
      </c>
      <c r="G143" t="inlineStr">
        <is>
          <t>ANEBY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46237</v>
      </c>
      <c r="F144" t="inlineStr">
        <is>
          <t>JÖNKÖPINGS LÄN</t>
        </is>
      </c>
      <c r="G144" t="inlineStr">
        <is>
          <t>ANEBY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46237</v>
      </c>
      <c r="F145" t="inlineStr">
        <is>
          <t>JÖNKÖPINGS LÄN</t>
        </is>
      </c>
      <c r="G145" t="inlineStr">
        <is>
          <t>ANEBY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46237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46237</v>
      </c>
      <c r="F147" t="inlineStr">
        <is>
          <t>JÖNKÖPINGS LÄN</t>
        </is>
      </c>
      <c r="G147" t="inlineStr">
        <is>
          <t>ANEBY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46237</v>
      </c>
      <c r="F148" t="inlineStr">
        <is>
          <t>JÖNKÖPINGS LÄN</t>
        </is>
      </c>
      <c r="G148" t="inlineStr">
        <is>
          <t>ANEBY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46237</v>
      </c>
      <c r="F149" t="inlineStr">
        <is>
          <t>JÖNKÖPINGS LÄN</t>
        </is>
      </c>
      <c r="G149" t="inlineStr">
        <is>
          <t>ANEBY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46237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46237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21356-2026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46147</v>
      </c>
      <c r="E152" s="1" t="n">
        <v>46237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46237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46237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45141</v>
      </c>
      <c r="E155" s="1" t="n">
        <v>46237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46237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46237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46237</v>
      </c>
      <c r="F158" t="inlineStr">
        <is>
          <t>JÖNKÖPINGS LÄN</t>
        </is>
      </c>
      <c r="G158" t="inlineStr">
        <is>
          <t>ANEBY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46237</v>
      </c>
      <c r="F159" t="inlineStr">
        <is>
          <t>JÖNKÖPINGS LÄN</t>
        </is>
      </c>
      <c r="G159" t="inlineStr">
        <is>
          <t>ANEBY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46237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45379</v>
      </c>
      <c r="E161" s="1" t="n">
        <v>46237</v>
      </c>
      <c r="F161" t="inlineStr">
        <is>
          <t>JÖNKÖPINGS LÄN</t>
        </is>
      </c>
      <c r="G161" t="inlineStr">
        <is>
          <t>ANEBY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46237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43613-2023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45184</v>
      </c>
      <c r="E163" s="1" t="n">
        <v>46237</v>
      </c>
      <c r="F163" t="inlineStr">
        <is>
          <t>JÖNKÖPINGS LÄN</t>
        </is>
      </c>
      <c r="G163" t="inlineStr">
        <is>
          <t>ANEBY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46237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46237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46237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45076</v>
      </c>
      <c r="E167" s="1" t="n">
        <v>46237</v>
      </c>
      <c r="F167" t="inlineStr">
        <is>
          <t>JÖNKÖPINGS LÄN</t>
        </is>
      </c>
      <c r="G167" t="inlineStr">
        <is>
          <t>ANEBY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46237</v>
      </c>
      <c r="F168" t="inlineStr">
        <is>
          <t>JÖNKÖPINGS LÄN</t>
        </is>
      </c>
      <c r="G168" t="inlineStr">
        <is>
          <t>ANEBY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46237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46237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46237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46237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46237</v>
      </c>
      <c r="F173" t="inlineStr">
        <is>
          <t>JÖNKÖPINGS LÄN</t>
        </is>
      </c>
      <c r="G173" t="inlineStr">
        <is>
          <t>ANEBY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46237</v>
      </c>
      <c r="F174" t="inlineStr">
        <is>
          <t>JÖNKÖPINGS LÄN</t>
        </is>
      </c>
      <c r="G174" t="inlineStr">
        <is>
          <t>ANEBY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46237</v>
      </c>
      <c r="F175" t="inlineStr">
        <is>
          <t>JÖNKÖPINGS LÄN</t>
        </is>
      </c>
      <c r="G175" t="inlineStr">
        <is>
          <t>ANEBY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46237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46237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46237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46237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46237</v>
      </c>
      <c r="F180" t="inlineStr">
        <is>
          <t>JÖNKÖPINGS LÄN</t>
        </is>
      </c>
      <c r="G180" t="inlineStr">
        <is>
          <t>ANEBY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46237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46237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46237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46237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44985</v>
      </c>
      <c r="E185" s="1" t="n">
        <v>46237</v>
      </c>
      <c r="F185" t="inlineStr">
        <is>
          <t>JÖNKÖPINGS LÄN</t>
        </is>
      </c>
      <c r="G185" t="inlineStr">
        <is>
          <t>ANEBY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46237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46237</v>
      </c>
      <c r="F187" t="inlineStr">
        <is>
          <t>JÖNKÖPINGS LÄN</t>
        </is>
      </c>
      <c r="G187" t="inlineStr">
        <is>
          <t>ANEBY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46237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45016</v>
      </c>
      <c r="E189" s="1" t="n">
        <v>46237</v>
      </c>
      <c r="F189" t="inlineStr">
        <is>
          <t>JÖNKÖPINGS LÄN</t>
        </is>
      </c>
      <c r="G189" t="inlineStr">
        <is>
          <t>ANEBY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23354-2023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45076</v>
      </c>
      <c r="E190" s="1" t="n">
        <v>46237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46237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46237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46237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45086</v>
      </c>
      <c r="E194" s="1" t="n">
        <v>46237</v>
      </c>
      <c r="F194" t="inlineStr">
        <is>
          <t>JÖNKÖPINGS LÄN</t>
        </is>
      </c>
      <c r="G194" t="inlineStr">
        <is>
          <t>ANEBY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46237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46237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10456-2023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44981</v>
      </c>
      <c r="E197" s="1" t="n">
        <v>46237</v>
      </c>
      <c r="F197" t="inlineStr">
        <is>
          <t>JÖNKÖPINGS LÄN</t>
        </is>
      </c>
      <c r="G197" t="inlineStr">
        <is>
          <t>ANEBY</t>
        </is>
      </c>
      <c r="H197" t="inlineStr">
        <is>
          <t>Övriga Aktiebolag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46237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46237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51185-2021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44461</v>
      </c>
      <c r="E200" s="1" t="n">
        <v>46237</v>
      </c>
      <c r="F200" t="inlineStr">
        <is>
          <t>JÖNKÖPINGS LÄN</t>
        </is>
      </c>
      <c r="G200" t="inlineStr">
        <is>
          <t>ANEBY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46237</v>
      </c>
      <c r="F201" t="inlineStr">
        <is>
          <t>JÖNKÖPINGS LÄN</t>
        </is>
      </c>
      <c r="G201" t="inlineStr">
        <is>
          <t>ANEBY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46237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46237</v>
      </c>
      <c r="F203" t="inlineStr">
        <is>
          <t>JÖNKÖPINGS LÄN</t>
        </is>
      </c>
      <c r="G203" t="inlineStr">
        <is>
          <t>ANEBY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46237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46237</v>
      </c>
      <c r="F205" t="inlineStr">
        <is>
          <t>JÖNKÖPINGS LÄN</t>
        </is>
      </c>
      <c r="G205" t="inlineStr">
        <is>
          <t>ANEBY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46237</v>
      </c>
      <c r="F206" t="inlineStr">
        <is>
          <t>JÖNKÖPINGS LÄN</t>
        </is>
      </c>
      <c r="G206" t="inlineStr">
        <is>
          <t>ANEBY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46237</v>
      </c>
      <c r="F207" t="inlineStr">
        <is>
          <t>JÖNKÖPINGS LÄN</t>
        </is>
      </c>
      <c r="G207" t="inlineStr">
        <is>
          <t>ANEBY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46237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46237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46237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46237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46237</v>
      </c>
      <c r="F212" t="inlineStr">
        <is>
          <t>JÖNKÖPINGS LÄN</t>
        </is>
      </c>
      <c r="G212" t="inlineStr">
        <is>
          <t>ANEBY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46237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56735-2021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46237</v>
      </c>
      <c r="F214" t="inlineStr">
        <is>
          <t>JÖNKÖPINGS LÄN</t>
        </is>
      </c>
      <c r="G214" t="inlineStr">
        <is>
          <t>ANEBY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46237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46237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46237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45363</v>
      </c>
      <c r="E218" s="1" t="n">
        <v>46237</v>
      </c>
      <c r="F218" t="inlineStr">
        <is>
          <t>JÖNKÖPINGS LÄN</t>
        </is>
      </c>
      <c r="G218" t="inlineStr">
        <is>
          <t>ANEBY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46214</v>
      </c>
      <c r="E219" s="1" t="n">
        <v>46237</v>
      </c>
      <c r="F219" t="inlineStr">
        <is>
          <t>JÖNKÖPINGS LÄN</t>
        </is>
      </c>
      <c r="G219" t="inlineStr">
        <is>
          <t>ANEBY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46214</v>
      </c>
      <c r="E220" s="1" t="n">
        <v>46237</v>
      </c>
      <c r="F220" t="inlineStr">
        <is>
          <t>JÖNKÖPINGS LÄN</t>
        </is>
      </c>
      <c r="G220" t="inlineStr">
        <is>
          <t>ANEBY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46214</v>
      </c>
      <c r="E221" s="1" t="n">
        <v>46237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46237</v>
      </c>
      <c r="F222" t="inlineStr">
        <is>
          <t>JÖNKÖPINGS LÄN</t>
        </is>
      </c>
      <c r="G222" t="inlineStr">
        <is>
          <t>ANEBY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46237</v>
      </c>
      <c r="F223" t="inlineStr">
        <is>
          <t>JÖNKÖPINGS LÄN</t>
        </is>
      </c>
      <c r="G223" t="inlineStr">
        <is>
          <t>ANEBY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46237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46237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46237</v>
      </c>
      <c r="F226" t="inlineStr">
        <is>
          <t>JÖNKÖPINGS LÄN</t>
        </is>
      </c>
      <c r="G226" t="inlineStr">
        <is>
          <t>ANEBY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46021</v>
      </c>
      <c r="E227" s="1" t="n">
        <v>46237</v>
      </c>
      <c r="F227" t="inlineStr">
        <is>
          <t>JÖNKÖPINGS LÄN</t>
        </is>
      </c>
      <c r="G227" t="inlineStr">
        <is>
          <t>ANEBY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46237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46237</v>
      </c>
      <c r="F229" t="inlineStr">
        <is>
          <t>JÖNKÖPINGS LÄN</t>
        </is>
      </c>
      <c r="G229" t="inlineStr">
        <is>
          <t>ANEBY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46237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46237</v>
      </c>
      <c r="F231" t="inlineStr">
        <is>
          <t>JÖNKÖPINGS LÄN</t>
        </is>
      </c>
      <c r="G231" t="inlineStr">
        <is>
          <t>ANEBY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46237</v>
      </c>
      <c r="F232" t="inlineStr">
        <is>
          <t>JÖNKÖPINGS LÄN</t>
        </is>
      </c>
      <c r="G232" t="inlineStr">
        <is>
          <t>ANEBY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46237</v>
      </c>
      <c r="F233" t="inlineStr">
        <is>
          <t>JÖNKÖPINGS LÄN</t>
        </is>
      </c>
      <c r="G233" t="inlineStr">
        <is>
          <t>ANEBY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46237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45304</v>
      </c>
      <c r="E235" s="1" t="n">
        <v>46237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46237</v>
      </c>
      <c r="F236" t="inlineStr">
        <is>
          <t>JÖNKÖPINGS LÄN</t>
        </is>
      </c>
      <c r="G236" t="inlineStr">
        <is>
          <t>ANEBY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38794-2023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45161</v>
      </c>
      <c r="E237" s="1" t="n">
        <v>46237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46237</v>
      </c>
      <c r="F238" t="inlineStr">
        <is>
          <t>JÖNKÖPINGS LÄN</t>
        </is>
      </c>
      <c r="G238" t="inlineStr">
        <is>
          <t>ANEBY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46237</v>
      </c>
      <c r="F239" t="inlineStr">
        <is>
          <t>JÖNKÖPINGS LÄN</t>
        </is>
      </c>
      <c r="G239" t="inlineStr">
        <is>
          <t>ANEBY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46237</v>
      </c>
      <c r="F240" t="inlineStr">
        <is>
          <t>JÖNKÖPINGS LÄN</t>
        </is>
      </c>
      <c r="G240" t="inlineStr">
        <is>
          <t>ANEBY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45552</v>
      </c>
      <c r="E241" s="1" t="n">
        <v>46237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46237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46237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51160-2021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44461</v>
      </c>
      <c r="E244" s="1" t="n">
        <v>46237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46237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21026-2024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45439</v>
      </c>
      <c r="E246" s="1" t="n">
        <v>46237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46237</v>
      </c>
      <c r="F247" t="inlineStr">
        <is>
          <t>JÖNKÖPINGS LÄN</t>
        </is>
      </c>
      <c r="G247" t="inlineStr">
        <is>
          <t>ANEBY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46057</v>
      </c>
      <c r="E248" s="1" t="n">
        <v>46237</v>
      </c>
      <c r="F248" t="inlineStr">
        <is>
          <t>JÖNKÖPINGS LÄN</t>
        </is>
      </c>
      <c r="G248" t="inlineStr">
        <is>
          <t>ANEBY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46237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46058</v>
      </c>
      <c r="E250" s="1" t="n">
        <v>46237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50069-2024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45600</v>
      </c>
      <c r="E251" s="1" t="n">
        <v>46237</v>
      </c>
      <c r="F251" t="inlineStr">
        <is>
          <t>JÖNKÖPINGS LÄN</t>
        </is>
      </c>
      <c r="G251" t="inlineStr">
        <is>
          <t>ANEBY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46237</v>
      </c>
      <c r="F252" t="inlineStr">
        <is>
          <t>JÖNKÖPINGS LÄN</t>
        </is>
      </c>
      <c r="G252" t="inlineStr">
        <is>
          <t>ANEBY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46237</v>
      </c>
      <c r="F253" t="inlineStr">
        <is>
          <t>JÖNKÖPINGS LÄN</t>
        </is>
      </c>
      <c r="G253" t="inlineStr">
        <is>
          <t>ANEBY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46237</v>
      </c>
      <c r="F254" t="inlineStr">
        <is>
          <t>JÖNKÖPINGS LÄN</t>
        </is>
      </c>
      <c r="G254" t="inlineStr">
        <is>
          <t>ANEBY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46237</v>
      </c>
      <c r="F255" t="inlineStr">
        <is>
          <t>JÖNKÖPINGS LÄN</t>
        </is>
      </c>
      <c r="G255" t="inlineStr">
        <is>
          <t>ANEBY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46224</v>
      </c>
      <c r="E256" s="1" t="n">
        <v>46237</v>
      </c>
      <c r="F256" t="inlineStr">
        <is>
          <t>JÖNKÖPINGS LÄN</t>
        </is>
      </c>
      <c r="G256" t="inlineStr">
        <is>
          <t>ANEBY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46237</v>
      </c>
      <c r="F257" t="inlineStr">
        <is>
          <t>JÖNKÖPINGS LÄN</t>
        </is>
      </c>
      <c r="G257" t="inlineStr">
        <is>
          <t>ANEBY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45616</v>
      </c>
      <c r="E258" s="1" t="n">
        <v>46237</v>
      </c>
      <c r="F258" t="inlineStr">
        <is>
          <t>JÖNKÖPINGS LÄN</t>
        </is>
      </c>
      <c r="G258" t="inlineStr">
        <is>
          <t>ANEBY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46237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46237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46237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46237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46237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46237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46237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46237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45572</v>
      </c>
      <c r="E267" s="1" t="n">
        <v>46237</v>
      </c>
      <c r="F267" t="inlineStr">
        <is>
          <t>JÖNKÖPINGS LÄN</t>
        </is>
      </c>
      <c r="G267" t="inlineStr">
        <is>
          <t>ANEBY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45124</v>
      </c>
      <c r="E268" s="1" t="n">
        <v>46237</v>
      </c>
      <c r="F268" t="inlineStr">
        <is>
          <t>JÖNKÖPINGS LÄN</t>
        </is>
      </c>
      <c r="G268" t="inlineStr">
        <is>
          <t>ANEBY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46237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45126</v>
      </c>
      <c r="E270" s="1" t="n">
        <v>46237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46237</v>
      </c>
      <c r="F271" t="inlineStr">
        <is>
          <t>JÖNKÖPINGS LÄN</t>
        </is>
      </c>
      <c r="G271" t="inlineStr">
        <is>
          <t>ANEBY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46237</v>
      </c>
      <c r="F272" t="inlineStr">
        <is>
          <t>JÖNKÖPINGS LÄN</t>
        </is>
      </c>
      <c r="G272" t="inlineStr">
        <is>
          <t>ANEBY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46237</v>
      </c>
      <c r="F273" t="inlineStr">
        <is>
          <t>JÖNKÖPINGS LÄN</t>
        </is>
      </c>
      <c r="G273" t="inlineStr">
        <is>
          <t>ANEBY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45068</v>
      </c>
      <c r="E274" s="1" t="n">
        <v>46237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46237</v>
      </c>
      <c r="F275" t="inlineStr">
        <is>
          <t>JÖNKÖPINGS LÄN</t>
        </is>
      </c>
      <c r="G275" t="inlineStr">
        <is>
          <t>ANEBY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45412</v>
      </c>
      <c r="E276" s="1" t="n">
        <v>46237</v>
      </c>
      <c r="F276" t="inlineStr">
        <is>
          <t>JÖNKÖPINGS LÄN</t>
        </is>
      </c>
      <c r="G276" t="inlineStr">
        <is>
          <t>ANEBY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46237</v>
      </c>
      <c r="F277" t="inlineStr">
        <is>
          <t>JÖNKÖPINGS LÄN</t>
        </is>
      </c>
      <c r="G277" t="inlineStr">
        <is>
          <t>ANEBY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46237</v>
      </c>
      <c r="F278" t="inlineStr">
        <is>
          <t>JÖNKÖPINGS LÄN</t>
        </is>
      </c>
      <c r="G278" t="inlineStr">
        <is>
          <t>ANEBY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46237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46237</v>
      </c>
      <c r="F280" t="inlineStr">
        <is>
          <t>JÖNKÖPINGS LÄN</t>
        </is>
      </c>
      <c r="G280" t="inlineStr">
        <is>
          <t>ANEBY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46237</v>
      </c>
      <c r="F281" t="inlineStr">
        <is>
          <t>JÖNKÖPINGS LÄN</t>
        </is>
      </c>
      <c r="G281" t="inlineStr">
        <is>
          <t>ANEBY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46237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46237</v>
      </c>
      <c r="F283" t="inlineStr">
        <is>
          <t>JÖNKÖPINGS LÄN</t>
        </is>
      </c>
      <c r="G283" t="inlineStr">
        <is>
          <t>ANEBY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10155-2024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45364</v>
      </c>
      <c r="E284" s="1" t="n">
        <v>46237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46237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46237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46237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46237</v>
      </c>
      <c r="F288" t="inlineStr">
        <is>
          <t>JÖNKÖPINGS LÄN</t>
        </is>
      </c>
      <c r="G288" t="inlineStr">
        <is>
          <t>ANEBY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46237</v>
      </c>
      <c r="F289" t="inlineStr">
        <is>
          <t>JÖNKÖPINGS LÄN</t>
        </is>
      </c>
      <c r="G289" t="inlineStr">
        <is>
          <t>ANEBY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46237</v>
      </c>
      <c r="F290" t="inlineStr">
        <is>
          <t>JÖNKÖPINGS LÄN</t>
        </is>
      </c>
      <c r="G290" t="inlineStr">
        <is>
          <t>ANEBY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46237</v>
      </c>
      <c r="F291" t="inlineStr">
        <is>
          <t>JÖNKÖPINGS LÄN</t>
        </is>
      </c>
      <c r="G291" t="inlineStr">
        <is>
          <t>ANEBY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45665</v>
      </c>
      <c r="E292" s="1" t="n">
        <v>46237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45077</v>
      </c>
      <c r="E293" s="1" t="n">
        <v>46237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46237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20.7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45539</v>
      </c>
      <c r="E295" s="1" t="n">
        <v>46237</v>
      </c>
      <c r="F295" t="inlineStr">
        <is>
          <t>JÖNKÖPINGS LÄN</t>
        </is>
      </c>
      <c r="G295" t="inlineStr">
        <is>
          <t>ANEBY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44705</v>
      </c>
      <c r="E296" s="1" t="n">
        <v>46237</v>
      </c>
      <c r="F296" t="inlineStr">
        <is>
          <t>JÖNKÖPINGS LÄN</t>
        </is>
      </c>
      <c r="G296" t="inlineStr">
        <is>
          <t>ANEBY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46237</v>
      </c>
      <c r="F297" t="inlineStr">
        <is>
          <t>JÖNKÖPINGS LÄN</t>
        </is>
      </c>
      <c r="G297" t="inlineStr">
        <is>
          <t>ANEBY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44678</v>
      </c>
      <c r="E298" s="1" t="n">
        <v>46237</v>
      </c>
      <c r="F298" t="inlineStr">
        <is>
          <t>JÖNKÖPINGS LÄN</t>
        </is>
      </c>
      <c r="G298" t="inlineStr">
        <is>
          <t>ANEBY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46237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46237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46237</v>
      </c>
      <c r="F301" t="inlineStr">
        <is>
          <t>JÖNKÖPINGS LÄN</t>
        </is>
      </c>
      <c r="G301" t="inlineStr">
        <is>
          <t>ANEBY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46237</v>
      </c>
      <c r="F302" t="inlineStr">
        <is>
          <t>JÖNKÖPINGS LÄN</t>
        </is>
      </c>
      <c r="G302" t="inlineStr">
        <is>
          <t>ANEBY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46237</v>
      </c>
      <c r="F303" t="inlineStr">
        <is>
          <t>JÖNKÖPINGS LÄN</t>
        </is>
      </c>
      <c r="G303" t="inlineStr">
        <is>
          <t>ANEBY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46237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46237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46237</v>
      </c>
      <c r="F306" t="inlineStr">
        <is>
          <t>JÖNKÖPINGS LÄN</t>
        </is>
      </c>
      <c r="G306" t="inlineStr">
        <is>
          <t>ANEBY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45357</v>
      </c>
      <c r="E307" s="1" t="n">
        <v>46237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45707</v>
      </c>
      <c r="E308" s="1" t="n">
        <v>46237</v>
      </c>
      <c r="F308" t="inlineStr">
        <is>
          <t>JÖNKÖPINGS LÄN</t>
        </is>
      </c>
      <c r="G308" t="inlineStr">
        <is>
          <t>ANEBY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45775</v>
      </c>
      <c r="E309" s="1" t="n">
        <v>46237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44700</v>
      </c>
      <c r="E310" s="1" t="n">
        <v>46237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46237</v>
      </c>
      <c r="F311" t="inlineStr">
        <is>
          <t>JÖNKÖPINGS LÄN</t>
        </is>
      </c>
      <c r="G311" t="inlineStr">
        <is>
          <t>ANEBY</t>
        </is>
      </c>
      <c r="H311" t="inlineStr">
        <is>
          <t>Kyrkan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46237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46237</v>
      </c>
      <c r="F313" t="inlineStr">
        <is>
          <t>JÖNKÖPINGS LÄN</t>
        </is>
      </c>
      <c r="G313" t="inlineStr">
        <is>
          <t>ANEBY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44721</v>
      </c>
      <c r="E314" s="1" t="n">
        <v>46237</v>
      </c>
      <c r="F314" t="inlineStr">
        <is>
          <t>JÖNKÖPINGS LÄN</t>
        </is>
      </c>
      <c r="G314" t="inlineStr">
        <is>
          <t>ANEBY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46237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46237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46237</v>
      </c>
      <c r="F317" t="inlineStr">
        <is>
          <t>JÖNKÖPINGS LÄN</t>
        </is>
      </c>
      <c r="G317" t="inlineStr">
        <is>
          <t>ANEBY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46237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46237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46237</v>
      </c>
      <c r="F320" t="inlineStr">
        <is>
          <t>JÖNKÖPINGS LÄN</t>
        </is>
      </c>
      <c r="G320" t="inlineStr">
        <is>
          <t>ANEBY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45775</v>
      </c>
      <c r="E321" s="1" t="n">
        <v>46237</v>
      </c>
      <c r="F321" t="inlineStr">
        <is>
          <t>JÖNKÖPINGS LÄN</t>
        </is>
      </c>
      <c r="G321" t="inlineStr">
        <is>
          <t>ANEBY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46237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19362-2025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45769</v>
      </c>
      <c r="E323" s="1" t="n">
        <v>46237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45304</v>
      </c>
      <c r="E324" s="1" t="n">
        <v>46237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46237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46237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46237</v>
      </c>
      <c r="F327" t="inlineStr">
        <is>
          <t>JÖNKÖPINGS LÄN</t>
        </is>
      </c>
      <c r="G327" t="inlineStr">
        <is>
          <t>ANEBY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46237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44847</v>
      </c>
      <c r="E329" s="1" t="n">
        <v>46237</v>
      </c>
      <c r="F329" t="inlineStr">
        <is>
          <t>JÖNKÖPINGS LÄN</t>
        </is>
      </c>
      <c r="G329" t="inlineStr">
        <is>
          <t>ANEBY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46237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46237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46237</v>
      </c>
      <c r="F332" t="inlineStr">
        <is>
          <t>JÖNKÖPINGS LÄN</t>
        </is>
      </c>
      <c r="G332" t="inlineStr">
        <is>
          <t>ANEBY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57170-2021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44482</v>
      </c>
      <c r="E333" s="1" t="n">
        <v>46237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46237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46237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46237</v>
      </c>
      <c r="F336" t="inlineStr">
        <is>
          <t>JÖNKÖPINGS LÄN</t>
        </is>
      </c>
      <c r="G336" t="inlineStr">
        <is>
          <t>ANEBY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46237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46237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46237</v>
      </c>
      <c r="F339" t="inlineStr">
        <is>
          <t>JÖNKÖPINGS LÄN</t>
        </is>
      </c>
      <c r="G339" t="inlineStr">
        <is>
          <t>ANEBY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46237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46237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46237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46237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46237</v>
      </c>
      <c r="F344" t="inlineStr">
        <is>
          <t>JÖNKÖPINGS LÄN</t>
        </is>
      </c>
      <c r="G344" t="inlineStr">
        <is>
          <t>ANEBY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46237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46237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46237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46237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46237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46237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46237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46237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46237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46237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46237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46237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46237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46237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46237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2026-08-03T01:53:49Z</dcterms:created>
  <dcterms:modified xmlns:dcterms="http://purl.org/dc/terms/" xmlns:xsi="http://www.w3.org/2001/XMLSchema-instance" xsi:type="dcterms:W3CDTF">2026-08-03T01:53:50Z</dcterms:modified>
</cp:coreProperties>
</file>