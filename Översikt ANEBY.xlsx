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228-2024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45293</v>
      </c>
      <c r="E2" s="1" t="n">
        <v>46317</v>
      </c>
      <c r="F2" t="inlineStr">
        <is>
          <t>JÖNKÖPINGS LÄN</t>
        </is>
      </c>
      <c r="G2" t="inlineStr">
        <is>
          <t>ANEBY</t>
        </is>
      </c>
      <c r="I2" t="n">
        <v>3.8</v>
      </c>
      <c r="J2" t="n">
        <v>13</v>
      </c>
      <c r="K2" t="n">
        <v>8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6</v>
      </c>
      <c r="R2" t="n">
        <v>1</v>
      </c>
      <c r="S2" t="n">
        <v>22</v>
      </c>
      <c r="T2" t="n">
        <v>56</v>
      </c>
      <c r="U2" t="n">
        <v>3</v>
      </c>
      <c r="V2" s="2" t="inlineStr">
        <is>
          <t>Knärot
Björktrast
Nötkråka
Sotvaxskivling
Talltita
Vedtrappmossa
Blodticka
Bårdlav
Flagellkvastmossa
Fällmossa
Grön sköldmossa
Gulnål
Smal svampklubba
Vedticka
Mattlummer
Spillkråka
Gröngöling
Grönsiska
Kråka
Kungsfågel
Vanlig padda
Revlummer</t>
        </is>
      </c>
      <c r="W2">
        <f>HYPERLINK("https://klasma.github.io/Logging_0604/artfynd/A 228-2024 artfynd.xlsx", "A 228-2024")</f>
        <v/>
      </c>
      <c r="X2">
        <f>HYPERLINK("https://klasma.github.io/Logging_0604/kartor/A 228-2024 karta.png", "A 228-2024")</f>
        <v/>
      </c>
      <c r="Y2">
        <f>HYPERLINK("https://klasma.github.io/Logging_0604/kartor_geotiff/A 228-2024 georefererad karta.tif", "A 228-2024")</f>
        <v/>
      </c>
      <c r="Z2">
        <f>HYPERLINK("https://klasma.github.io/Logging_0604/knärot/A 228-2024 karta knärot.png", "A 228-2024")</f>
        <v/>
      </c>
      <c r="AA2">
        <f>HYPERLINK("https://klasma.github.io/Logging_0604/klagomål/A 228-2024 FSC-klagomål.docx", "A 228-2024")</f>
        <v/>
      </c>
      <c r="AB2">
        <f>HYPERLINK("https://klasma.github.io/Logging_0604/klagomålsmail/A 228-2024 FSC-klagomål mail.docx", "A 228-2024")</f>
        <v/>
      </c>
      <c r="AC2">
        <f>HYPERLINK("https://klasma.github.io/Logging_0604/tillsyn/A 228-2024 tillsynsbegäran.docx", "A 228-2024")</f>
        <v/>
      </c>
      <c r="AD2">
        <f>HYPERLINK("https://klasma.github.io/Logging_0604/tillsynsmail/A 228-2024 tillsynsbegäran mail.docx", "A 228-2024")</f>
        <v/>
      </c>
      <c r="AE2">
        <f>HYPERLINK("https://klasma.github.io/Logging_0604/fåglar/A 228-2024 prioriterade fågelarter.docx", "A 228-2024")</f>
        <v/>
      </c>
    </row>
    <row r="3" ht="15" customHeight="1">
      <c r="A3" t="inlineStr">
        <is>
          <t>S 1456-2026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46161</v>
      </c>
      <c r="E3" s="1" t="n">
        <v>46317</v>
      </c>
      <c r="F3" t="inlineStr">
        <is>
          <t>JÖNKÖPINGS LÄN</t>
        </is>
      </c>
      <c r="G3" t="inlineStr">
        <is>
          <t>ANEBY</t>
        </is>
      </c>
      <c r="I3" t="n">
        <v>1.6</v>
      </c>
      <c r="J3" t="n">
        <v>10</v>
      </c>
      <c r="K3" t="n">
        <v>8</v>
      </c>
      <c r="L3" t="n">
        <v>6</v>
      </c>
      <c r="M3" t="n">
        <v>2</v>
      </c>
      <c r="N3" t="n">
        <v>0</v>
      </c>
      <c r="O3" t="n">
        <v>0</v>
      </c>
      <c r="P3" t="n">
        <v>0</v>
      </c>
      <c r="Q3" t="n">
        <v>8</v>
      </c>
      <c r="R3" t="n">
        <v>2</v>
      </c>
      <c r="S3" t="n">
        <v>22</v>
      </c>
      <c r="T3" t="n">
        <v>59</v>
      </c>
      <c r="U3" t="n">
        <v>0</v>
      </c>
      <c r="V3" s="2" t="inlineStr">
        <is>
          <t>Garnlav
Knärot
Björktrast
Kandelabersvamp
Sotvaxskivling
Talltita
Vedtrappmossa
Vårstarr
Barkkornlav
Blomkålssvamp
Bårdlav
Fällmossa
Grön sköldmossa
Guldlockmossa
Gulnål
Vedticka
Blåsippa
Spillkråka
Gröngöling
Grönsiska
Kråka
Kungsfågel</t>
        </is>
      </c>
      <c r="W3">
        <f>HYPERLINK("https://klasma.github.io/Logging_0604/artfynd/S 1456-2026 artfynd.xlsx", "S 1456-2026")</f>
        <v/>
      </c>
      <c r="X3">
        <f>HYPERLINK("https://klasma.github.io/Logging_0604/kartor/S 1456-2026 karta.png", "S 1456-2026")</f>
        <v/>
      </c>
      <c r="Y3">
        <f>HYPERLINK("https://klasma.github.io/Logging_0604/kartor_geotiff/S 1456-2026 georefererad karta.tif", "S 1456-2026")</f>
        <v/>
      </c>
      <c r="Z3">
        <f>HYPERLINK("https://klasma.github.io/Logging_0604/knärot/S 1456-2026 karta knärot.png", "S 1456-2026")</f>
        <v/>
      </c>
      <c r="AA3">
        <f>HYPERLINK("https://klasma.github.io/Logging_0604/klagomål/S 1456-2026 FSC-klagomål.docx", "S 1456-2026")</f>
        <v/>
      </c>
      <c r="AB3">
        <f>HYPERLINK("https://klasma.github.io/Logging_0604/klagomålsmail/S 1456-2026 FSC-klagomål mail.docx", "S 1456-2026")</f>
        <v/>
      </c>
      <c r="AC3">
        <f>HYPERLINK("https://klasma.github.io/Logging_0604/tillsyn/S 1456-2026 tillsynsbegäran.docx", "S 1456-2026")</f>
        <v/>
      </c>
      <c r="AD3">
        <f>HYPERLINK("https://klasma.github.io/Logging_0604/tillsynsmail/S 1456-2026 tillsynsbegäran mail.docx", "S 1456-2026")</f>
        <v/>
      </c>
      <c r="AE3">
        <f>HYPERLINK("https://klasma.github.io/Logging_0604/fåglar/S 1456-2026 prioriterade fågelarter.docx", "S 1456-2026")</f>
        <v/>
      </c>
    </row>
    <row r="4" ht="15" customHeight="1">
      <c r="A4" t="inlineStr">
        <is>
          <t>S 2227-2023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45109</v>
      </c>
      <c r="E4" s="1" t="n">
        <v>46317</v>
      </c>
      <c r="F4" t="inlineStr">
        <is>
          <t>JÖNKÖPINGS LÄN</t>
        </is>
      </c>
      <c r="G4" t="inlineStr">
        <is>
          <t>ANEBY</t>
        </is>
      </c>
      <c r="I4" t="n">
        <v>1.6</v>
      </c>
      <c r="J4" t="n">
        <v>8</v>
      </c>
      <c r="K4" t="n">
        <v>6</v>
      </c>
      <c r="L4" t="n">
        <v>5</v>
      </c>
      <c r="M4" t="n">
        <v>1</v>
      </c>
      <c r="N4" t="n">
        <v>0</v>
      </c>
      <c r="O4" t="n">
        <v>0</v>
      </c>
      <c r="P4" t="n">
        <v>0</v>
      </c>
      <c r="Q4" t="n">
        <v>6</v>
      </c>
      <c r="R4" t="n">
        <v>1</v>
      </c>
      <c r="S4" t="n">
        <v>17</v>
      </c>
      <c r="T4" t="n">
        <v>36</v>
      </c>
      <c r="U4" t="n">
        <v>0</v>
      </c>
      <c r="V4" s="2" t="inlineStr">
        <is>
          <t>Garnlav
Kandelabersvamp
Nötkråka
Talltita
Vedtrappmossa
Vårstarr
Barkkornlav
Bårdlav
Fällmossa
Grön sköldmossa
Guldlockmossa
Gulnål
Blåsippa
Spillkråka
Gröngöling
Kungsfågel
Grönvit nattviol</t>
        </is>
      </c>
      <c r="W4">
        <f>HYPERLINK("https://klasma.github.io/Logging_0604/artfynd/S 2227-2023 artfynd.xlsx", "S 2227-2023")</f>
        <v/>
      </c>
      <c r="X4">
        <f>HYPERLINK("https://klasma.github.io/Logging_0604/kartor/S 2227-2023 karta.png", "S 2227-2023")</f>
        <v/>
      </c>
      <c r="Y4">
        <f>HYPERLINK("https://klasma.github.io/Logging_0604/kartor_geotiff/S 2227-2023 georefererad karta.tif", "S 2227-2023")</f>
        <v/>
      </c>
      <c r="AA4">
        <f>HYPERLINK("https://klasma.github.io/Logging_0604/klagomål/S 2227-2023 FSC-klagomål.docx", "S 2227-2023")</f>
        <v/>
      </c>
      <c r="AB4">
        <f>HYPERLINK("https://klasma.github.io/Logging_0604/klagomålsmail/S 2227-2023 FSC-klagomål mail.docx", "S 2227-2023")</f>
        <v/>
      </c>
      <c r="AC4">
        <f>HYPERLINK("https://klasma.github.io/Logging_0604/tillsyn/S 2227-2023 tillsynsbegäran.docx", "S 2227-2023")</f>
        <v/>
      </c>
      <c r="AD4">
        <f>HYPERLINK("https://klasma.github.io/Logging_0604/tillsynsmail/S 2227-2023 tillsynsbegäran mail.docx", "S 2227-2023")</f>
        <v/>
      </c>
      <c r="AE4">
        <f>HYPERLINK("https://klasma.github.io/Logging_0604/fåglar/S 2227-2023 prioriterade fågelarter.docx", "S 2227-2023")</f>
        <v/>
      </c>
    </row>
    <row r="5" ht="15" customHeight="1">
      <c r="A5" t="inlineStr">
        <is>
          <t>S 6622-2022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44886</v>
      </c>
      <c r="E5" s="1" t="n">
        <v>46317</v>
      </c>
      <c r="F5" t="inlineStr">
        <is>
          <t>JÖNKÖPINGS LÄN</t>
        </is>
      </c>
      <c r="G5" t="inlineStr">
        <is>
          <t>ANEBY</t>
        </is>
      </c>
      <c r="I5" t="n">
        <v>10.2</v>
      </c>
      <c r="J5" t="n">
        <v>6</v>
      </c>
      <c r="K5" t="n">
        <v>7</v>
      </c>
      <c r="L5" t="n">
        <v>4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1</v>
      </c>
      <c r="S5" t="n">
        <v>15</v>
      </c>
      <c r="T5" t="n">
        <v>15</v>
      </c>
      <c r="U5" t="n">
        <v>13</v>
      </c>
      <c r="V5" s="2" t="inlineStr">
        <is>
          <t>Knärot
Gullpudra
Krusfrö
Slåtterfibbla
Svinrot
Grönpyrola
Korallrot
Svart trolldruva
Tibast
Tvåblad
Underviol
Ögonpyrola
Blåsippa
Grönvit nattviol
Gullviva</t>
        </is>
      </c>
      <c r="W5">
        <f>HYPERLINK("https://klasma.github.io/Logging_0604/artfynd/S 6622-2022 artfynd.xlsx", "S 6622-2022")</f>
        <v/>
      </c>
      <c r="X5">
        <f>HYPERLINK("https://klasma.github.io/Logging_0604/kartor/S 6622-2022 karta.png", "S 6622-2022")</f>
        <v/>
      </c>
      <c r="Y5">
        <f>HYPERLINK("https://klasma.github.io/Logging_0604/kartor_geotiff/S 6622-2022 georefererad karta.tif", "S 6622-2022")</f>
        <v/>
      </c>
      <c r="Z5">
        <f>HYPERLINK("https://klasma.github.io/Logging_0604/knärot/S 6622-2022 karta knärot.png", "S 6622-2022")</f>
        <v/>
      </c>
      <c r="AA5">
        <f>HYPERLINK("https://klasma.github.io/Logging_0604/klagomål/S 6622-2022 FSC-klagomål.docx", "S 6622-2022")</f>
        <v/>
      </c>
      <c r="AB5">
        <f>HYPERLINK("https://klasma.github.io/Logging_0604/klagomålsmail/S 6622-2022 FSC-klagomål mail.docx", "S 6622-2022")</f>
        <v/>
      </c>
      <c r="AC5">
        <f>HYPERLINK("https://klasma.github.io/Logging_0604/tillsyn/S 6622-2022 tillsynsbegäran.docx", "S 6622-2022")</f>
        <v/>
      </c>
      <c r="AD5">
        <f>HYPERLINK("https://klasma.github.io/Logging_0604/tillsynsmail/S 6622-2022 tillsynsbegäran mail.docx", "S 6622-2022")</f>
        <v/>
      </c>
    </row>
    <row r="6" ht="15" customHeight="1">
      <c r="A6" t="inlineStr">
        <is>
          <t>A 38600-2026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46283</v>
      </c>
      <c r="E6" s="1" t="n">
        <v>46317</v>
      </c>
      <c r="F6" t="inlineStr">
        <is>
          <t>JÖNKÖPINGS LÄN</t>
        </is>
      </c>
      <c r="G6" t="inlineStr">
        <is>
          <t>ANEBY</t>
        </is>
      </c>
      <c r="I6" t="n">
        <v>1.1</v>
      </c>
      <c r="J6" t="n">
        <v>0</v>
      </c>
      <c r="K6" t="n">
        <v>8</v>
      </c>
      <c r="L6" t="n">
        <v>3</v>
      </c>
      <c r="M6" t="n">
        <v>3</v>
      </c>
      <c r="N6" t="n">
        <v>0</v>
      </c>
      <c r="O6" t="n">
        <v>0</v>
      </c>
      <c r="P6" t="n">
        <v>0</v>
      </c>
      <c r="Q6" t="n">
        <v>6</v>
      </c>
      <c r="R6" t="n">
        <v>3</v>
      </c>
      <c r="S6" t="n">
        <v>14</v>
      </c>
      <c r="T6" t="n">
        <v>24</v>
      </c>
      <c r="U6" t="n">
        <v>10</v>
      </c>
      <c r="V6" s="2" t="inlineStr">
        <is>
          <t>Rodnande lutvaxing
Slåttergubbe
Trådvaxing
Ljus ängsfingersvamp
Praktvaxing
Scharlakansvaxing
Aprikosfingersvamp
Blodvaxing
Brandticka
Broskvaxing
Gulvaxing
Hagfingersvamp
Trådticka
Vitvaxing agg.</t>
        </is>
      </c>
      <c r="W6">
        <f>HYPERLINK("https://klasma.github.io/Logging_0604/artfynd/A 38600-2026 artfynd.xlsx", "A 38600-2026")</f>
        <v/>
      </c>
      <c r="X6">
        <f>HYPERLINK("https://klasma.github.io/Logging_0604/kartor/A 38600-2026 karta.png", "A 38600-2026")</f>
        <v/>
      </c>
      <c r="Y6">
        <f>HYPERLINK("https://klasma.github.io/Logging_0604/kartor_geotiff/A 38600-2026 georefererad karta.tif", "A 38600-2026")</f>
        <v/>
      </c>
      <c r="AA6">
        <f>HYPERLINK("https://klasma.github.io/Logging_0604/klagomål/A 38600-2026 FSC-klagomål.docx", "A 38600-2026")</f>
        <v/>
      </c>
      <c r="AB6">
        <f>HYPERLINK("https://klasma.github.io/Logging_0604/klagomålsmail/A 38600-2026 FSC-klagomål mail.docx", "A 38600-2026")</f>
        <v/>
      </c>
      <c r="AC6">
        <f>HYPERLINK("https://klasma.github.io/Logging_0604/tillsyn/A 38600-2026 tillsynsbegäran.docx", "A 38600-2026")</f>
        <v/>
      </c>
      <c r="AD6">
        <f>HYPERLINK("https://klasma.github.io/Logging_0604/tillsynsmail/A 38600-2026 tillsynsbegäran mail.docx", "A 38600-2026")</f>
        <v/>
      </c>
    </row>
    <row r="7" ht="15" customHeight="1">
      <c r="A7" t="inlineStr">
        <is>
          <t>A 49079-2023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45204</v>
      </c>
      <c r="E7" s="1" t="n">
        <v>46317</v>
      </c>
      <c r="F7" t="inlineStr">
        <is>
          <t>JÖNKÖPINGS LÄN</t>
        </is>
      </c>
      <c r="G7" t="inlineStr">
        <is>
          <t>ANEBY</t>
        </is>
      </c>
      <c r="H7" t="inlineStr">
        <is>
          <t>Övriga Aktiebolag</t>
        </is>
      </c>
      <c r="I7" t="n">
        <v>6.5</v>
      </c>
      <c r="J7" t="n">
        <v>10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10</v>
      </c>
      <c r="T7" t="n">
        <v>10</v>
      </c>
      <c r="U7" t="n">
        <v>0</v>
      </c>
      <c r="V7" s="2" t="inlineStr">
        <is>
          <t>Kricka
Nordfladdermus
Sädesärla
Fiskgjuse
Havsörn
Sångsvan
Vattenfladdermus
Kopparödla
Skogsödla
Grönvit nattviol</t>
        </is>
      </c>
      <c r="W7">
        <f>HYPERLINK("https://klasma.github.io/Logging_0604/artfynd/A 49079-2023 artfynd.xlsx", "A 49079-2023")</f>
        <v/>
      </c>
      <c r="X7">
        <f>HYPERLINK("https://klasma.github.io/Logging_0604/kartor/A 49079-2023 karta.png", "A 49079-2023")</f>
        <v/>
      </c>
      <c r="Y7">
        <f>HYPERLINK("https://klasma.github.io/Logging_0604/kartor_geotiff/A 49079-2023 georefererad karta.tif", "A 49079-2023")</f>
        <v/>
      </c>
      <c r="AA7">
        <f>HYPERLINK("https://klasma.github.io/Logging_0604/klagomål/A 49079-2023 FSC-klagomål.docx", "A 49079-2023")</f>
        <v/>
      </c>
      <c r="AB7">
        <f>HYPERLINK("https://klasma.github.io/Logging_0604/klagomålsmail/A 49079-2023 FSC-klagomål mail.docx", "A 49079-2023")</f>
        <v/>
      </c>
      <c r="AC7">
        <f>HYPERLINK("https://klasma.github.io/Logging_0604/tillsyn/A 49079-2023 tillsynsbegäran.docx", "A 49079-2023")</f>
        <v/>
      </c>
      <c r="AD7">
        <f>HYPERLINK("https://klasma.github.io/Logging_0604/tillsynsmail/A 49079-2023 tillsynsbegäran mail.docx", "A 49079-2023")</f>
        <v/>
      </c>
      <c r="AE7">
        <f>HYPERLINK("https://klasma.github.io/Logging_0604/fåglar/A 49079-2023 prioriterade fågelarter.docx", "A 49079-2023")</f>
        <v/>
      </c>
    </row>
    <row r="8" ht="15" customHeight="1">
      <c r="A8" t="inlineStr">
        <is>
          <t>A 47296-2023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45202</v>
      </c>
      <c r="E8" s="1" t="n">
        <v>46317</v>
      </c>
      <c r="F8" t="inlineStr">
        <is>
          <t>JÖNKÖPINGS LÄN</t>
        </is>
      </c>
      <c r="G8" t="inlineStr">
        <is>
          <t>ANEBY</t>
        </is>
      </c>
      <c r="H8" t="inlineStr">
        <is>
          <t>Sveaskog</t>
        </is>
      </c>
      <c r="I8" t="n">
        <v>0.6</v>
      </c>
      <c r="J8" t="n">
        <v>6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4</v>
      </c>
      <c r="R8" t="n">
        <v>1</v>
      </c>
      <c r="S8" t="n">
        <v>7</v>
      </c>
      <c r="T8" t="n">
        <v>7</v>
      </c>
      <c r="U8" t="n">
        <v>0</v>
      </c>
      <c r="V8" s="2" t="inlineStr">
        <is>
          <t>Ljungögontröst
Barbastell
Brunlångöra
Nordfladdermus
Järpe
Dvärgpipistrell
Orre</t>
        </is>
      </c>
      <c r="W8">
        <f>HYPERLINK("https://klasma.github.io/Logging_0604/artfynd/A 47296-2023 artfynd.xlsx", "A 47296-2023")</f>
        <v/>
      </c>
      <c r="X8">
        <f>HYPERLINK("https://klasma.github.io/Logging_0604/kartor/A 47296-2023 karta.png", "A 47296-2023")</f>
        <v/>
      </c>
      <c r="Y8">
        <f>HYPERLINK("https://klasma.github.io/Logging_0604/kartor_geotiff/A 47296-2023 georefererad karta.tif", "A 47296-2023")</f>
        <v/>
      </c>
      <c r="AA8">
        <f>HYPERLINK("https://klasma.github.io/Logging_0604/klagomål/A 47296-2023 FSC-klagomål.docx", "A 47296-2023")</f>
        <v/>
      </c>
      <c r="AB8">
        <f>HYPERLINK("https://klasma.github.io/Logging_0604/klagomålsmail/A 47296-2023 FSC-klagomål mail.docx", "A 47296-2023")</f>
        <v/>
      </c>
      <c r="AC8">
        <f>HYPERLINK("https://klasma.github.io/Logging_0604/tillsyn/A 47296-2023 tillsynsbegäran.docx", "A 47296-2023")</f>
        <v/>
      </c>
      <c r="AD8">
        <f>HYPERLINK("https://klasma.github.io/Logging_0604/tillsynsmail/A 47296-2023 tillsynsbegäran mail.docx", "A 47296-2023")</f>
        <v/>
      </c>
      <c r="AE8">
        <f>HYPERLINK("https://klasma.github.io/Logging_0604/fåglar/A 47296-2023 prioriterade fågelarter.docx", "A 47296-2023")</f>
        <v/>
      </c>
    </row>
    <row r="9" ht="15" customHeight="1">
      <c r="A9" t="inlineStr">
        <is>
          <t>A 410-2022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44565</v>
      </c>
      <c r="E9" s="1" t="n">
        <v>46317</v>
      </c>
      <c r="F9" t="inlineStr">
        <is>
          <t>JÖNKÖPINGS LÄN</t>
        </is>
      </c>
      <c r="G9" t="inlineStr">
        <is>
          <t>ANEBY</t>
        </is>
      </c>
      <c r="I9" t="n">
        <v>7.3</v>
      </c>
      <c r="J9" t="n">
        <v>2</v>
      </c>
      <c r="K9" t="n">
        <v>1</v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6</v>
      </c>
      <c r="R9" t="n">
        <v>3</v>
      </c>
      <c r="S9" t="n">
        <v>7</v>
      </c>
      <c r="T9" t="n">
        <v>7</v>
      </c>
      <c r="U9" t="n">
        <v>2</v>
      </c>
      <c r="V9" s="2" t="inlineStr">
        <is>
          <t>Pärluggla
Knärot
Silverblåvinge
Grå blåbärsfältmätare
Skogshare
Vitfläckig guldvinge
Grönpyrola</t>
        </is>
      </c>
      <c r="W9">
        <f>HYPERLINK("https://klasma.github.io/Logging_0604/artfynd/A 410-2022 artfynd.xlsx", "A 410-2022")</f>
        <v/>
      </c>
      <c r="X9">
        <f>HYPERLINK("https://klasma.github.io/Logging_0604/kartor/A 410-2022 karta.png", "A 410-2022")</f>
        <v/>
      </c>
      <c r="Y9">
        <f>HYPERLINK("https://klasma.github.io/Logging_0604/kartor_geotiff/A 410-2022 georefererad karta.tif", "A 410-2022")</f>
        <v/>
      </c>
      <c r="Z9">
        <f>HYPERLINK("https://klasma.github.io/Logging_0604/knärot/A 410-2022 karta knärot.png", "A 410-2022")</f>
        <v/>
      </c>
      <c r="AA9">
        <f>HYPERLINK("https://klasma.github.io/Logging_0604/klagomål/A 410-2022 FSC-klagomål.docx", "A 410-2022")</f>
        <v/>
      </c>
      <c r="AB9">
        <f>HYPERLINK("https://klasma.github.io/Logging_0604/klagomålsmail/A 410-2022 FSC-klagomål mail.docx", "A 410-2022")</f>
        <v/>
      </c>
      <c r="AC9">
        <f>HYPERLINK("https://klasma.github.io/Logging_0604/tillsyn/A 410-2022 tillsynsbegäran.docx", "A 410-2022")</f>
        <v/>
      </c>
      <c r="AD9">
        <f>HYPERLINK("https://klasma.github.io/Logging_0604/tillsynsmail/A 410-2022 tillsynsbegäran mail.docx", "A 410-2022")</f>
        <v/>
      </c>
      <c r="AE9">
        <f>HYPERLINK("https://klasma.github.io/Logging_0604/fåglar/A 410-2022 prioriterade fågelarter.docx", "A 410-2022")</f>
        <v/>
      </c>
    </row>
    <row r="10" ht="15" customHeight="1">
      <c r="A10" t="inlineStr">
        <is>
          <t>S 1135-2024</t>
        </is>
      </c>
      <c r="B10" t="inlineStr">
        <is>
          <t>samrådsanmälan</t>
        </is>
      </c>
      <c r="C10" t="inlineStr">
        <is>
          <t>Askåterföring</t>
        </is>
      </c>
      <c r="D10" s="1" t="n">
        <v>45393</v>
      </c>
      <c r="E10" s="1" t="n">
        <v>46317</v>
      </c>
      <c r="F10" t="inlineStr">
        <is>
          <t>JÖNKÖPINGS LÄN</t>
        </is>
      </c>
      <c r="G10" t="inlineStr">
        <is>
          <t>ANEBY</t>
        </is>
      </c>
      <c r="I10" t="n">
        <v>30.9</v>
      </c>
      <c r="J10" t="n">
        <v>6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6</v>
      </c>
      <c r="T10" t="n">
        <v>7</v>
      </c>
      <c r="U10" t="n">
        <v>1</v>
      </c>
      <c r="V10" s="2" t="inlineStr">
        <is>
          <t>Entita
Talltita
Grönsiska
Sångsvan
Trana
Ärtsångare</t>
        </is>
      </c>
      <c r="W10">
        <f>HYPERLINK("https://klasma.github.io/Logging_0604/artfynd/S 1135-2024 artfynd.xlsx", "S 1135-2024")</f>
        <v/>
      </c>
      <c r="X10">
        <f>HYPERLINK("https://klasma.github.io/Logging_0604/kartor/S 1135-2024 karta.png", "S 1135-2024")</f>
        <v/>
      </c>
      <c r="Y10">
        <f>HYPERLINK("https://klasma.github.io/Logging_0604/kartor_geotiff/S 1135-2024 georefererad karta.tif", "S 1135-2024")</f>
        <v/>
      </c>
      <c r="AA10">
        <f>HYPERLINK("https://klasma.github.io/Logging_0604/klagomål/S 1135-2024 FSC-klagomål.docx", "S 1135-2024")</f>
        <v/>
      </c>
      <c r="AB10">
        <f>HYPERLINK("https://klasma.github.io/Logging_0604/klagomålsmail/S 1135-2024 FSC-klagomål mail.docx", "S 1135-2024")</f>
        <v/>
      </c>
      <c r="AC10">
        <f>HYPERLINK("https://klasma.github.io/Logging_0604/tillsyn/S 1135-2024 tillsynsbegäran.docx", "S 1135-2024")</f>
        <v/>
      </c>
      <c r="AD10">
        <f>HYPERLINK("https://klasma.github.io/Logging_0604/tillsynsmail/S 1135-2024 tillsynsbegäran mail.docx", "S 1135-2024")</f>
        <v/>
      </c>
      <c r="AE10">
        <f>HYPERLINK("https://klasma.github.io/Logging_0604/fåglar/S 1135-2024 prioriterade fågelarter.docx", "S 1135-2024")</f>
        <v/>
      </c>
    </row>
    <row r="11" ht="15" customHeight="1">
      <c r="A11" t="inlineStr">
        <is>
          <t>S 6940-2022</t>
        </is>
      </c>
      <c r="B11" t="inlineStr">
        <is>
          <t>samrådsanmälan</t>
        </is>
      </c>
      <c r="C11" t="inlineStr">
        <is>
          <t>Askåterföring</t>
        </is>
      </c>
      <c r="D11" s="1" t="n">
        <v>44889</v>
      </c>
      <c r="E11" s="1" t="n">
        <v>46317</v>
      </c>
      <c r="F11" t="inlineStr">
        <is>
          <t>JÖNKÖPINGS LÄN</t>
        </is>
      </c>
      <c r="G11" t="inlineStr">
        <is>
          <t>ANEBY</t>
        </is>
      </c>
      <c r="I11" t="n">
        <v>72.90000000000001</v>
      </c>
      <c r="J11" t="n">
        <v>5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6</v>
      </c>
      <c r="T11" t="n">
        <v>8</v>
      </c>
      <c r="U11" t="n">
        <v>0</v>
      </c>
      <c r="V11" s="2" t="inlineStr">
        <is>
          <t>Silverblåvinge
Talltita
Vanlig groda
Dubbelnycklar
Fläcknycklar
Revlummer</t>
        </is>
      </c>
      <c r="W11">
        <f>HYPERLINK("https://klasma.github.io/Logging_0604/artfynd/S 6940-2022 artfynd.xlsx", "S 6940-2022")</f>
        <v/>
      </c>
      <c r="X11">
        <f>HYPERLINK("https://klasma.github.io/Logging_0604/kartor/S 6940-2022 karta.png", "S 6940-2022")</f>
        <v/>
      </c>
      <c r="Y11">
        <f>HYPERLINK("https://klasma.github.io/Logging_0604/kartor_geotiff/S 6940-2022 georefererad karta.tif", "S 6940-2022")</f>
        <v/>
      </c>
      <c r="AA11">
        <f>HYPERLINK("https://klasma.github.io/Logging_0604/klagomål/S 6940-2022 FSC-klagomål.docx", "S 6940-2022")</f>
        <v/>
      </c>
      <c r="AB11">
        <f>HYPERLINK("https://klasma.github.io/Logging_0604/klagomålsmail/S 6940-2022 FSC-klagomål mail.docx", "S 6940-2022")</f>
        <v/>
      </c>
      <c r="AC11">
        <f>HYPERLINK("https://klasma.github.io/Logging_0604/tillsyn/S 6940-2022 tillsynsbegäran.docx", "S 6940-2022")</f>
        <v/>
      </c>
      <c r="AD11">
        <f>HYPERLINK("https://klasma.github.io/Logging_0604/tillsynsmail/S 6940-2022 tillsynsbegäran mail.docx", "S 6940-2022")</f>
        <v/>
      </c>
      <c r="AE11">
        <f>HYPERLINK("https://klasma.github.io/Logging_0604/fåglar/S 6940-2022 prioriterade fågelarter.docx", "S 6940-2022")</f>
        <v/>
      </c>
    </row>
    <row r="12" ht="15" customHeight="1">
      <c r="A12" t="inlineStr">
        <is>
          <t>A 23598-2025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45792</v>
      </c>
      <c r="E12" s="1" t="n">
        <v>46317</v>
      </c>
      <c r="F12" t="inlineStr">
        <is>
          <t>JÖNKÖPINGS LÄN</t>
        </is>
      </c>
      <c r="G12" t="inlineStr">
        <is>
          <t>ANEBY</t>
        </is>
      </c>
      <c r="I12" t="n">
        <v>1.9</v>
      </c>
      <c r="J12" t="n">
        <v>1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5</v>
      </c>
      <c r="U12" t="n">
        <v>5</v>
      </c>
      <c r="V12" s="2" t="inlineStr">
        <is>
          <t>Kattfotslav
Björksplintborre
Bronshjon
Rostfläck
Större brunfladdermus</t>
        </is>
      </c>
      <c r="W12">
        <f>HYPERLINK("https://klasma.github.io/Logging_0604/artfynd/A 23598-2025 artfynd.xlsx", "A 23598-2025")</f>
        <v/>
      </c>
      <c r="X12">
        <f>HYPERLINK("https://klasma.github.io/Logging_0604/kartor/A 23598-2025 karta.png", "A 23598-2025")</f>
        <v/>
      </c>
      <c r="Y12">
        <f>HYPERLINK("https://klasma.github.io/Logging_0604/kartor_geotiff/A 23598-2025 georefererad karta.tif", "A 23598-2025")</f>
        <v/>
      </c>
      <c r="AA12">
        <f>HYPERLINK("https://klasma.github.io/Logging_0604/klagomål/A 23598-2025 FSC-klagomål.docx", "A 23598-2025")</f>
        <v/>
      </c>
      <c r="AB12">
        <f>HYPERLINK("https://klasma.github.io/Logging_0604/klagomålsmail/A 23598-2025 FSC-klagomål mail.docx", "A 23598-2025")</f>
        <v/>
      </c>
      <c r="AC12">
        <f>HYPERLINK("https://klasma.github.io/Logging_0604/tillsyn/A 23598-2025 tillsynsbegäran.docx", "A 23598-2025")</f>
        <v/>
      </c>
      <c r="AD12">
        <f>HYPERLINK("https://klasma.github.io/Logging_0604/tillsynsmail/A 23598-2025 tillsynsbegäran mail.docx", "A 23598-2025")</f>
        <v/>
      </c>
    </row>
    <row r="13" ht="15" customHeight="1">
      <c r="A13" t="inlineStr">
        <is>
          <t>S 574-2025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45712</v>
      </c>
      <c r="E13" s="1" t="n">
        <v>46317</v>
      </c>
      <c r="F13" t="inlineStr">
        <is>
          <t>JÖNKÖPINGS LÄN</t>
        </is>
      </c>
      <c r="G13" t="inlineStr">
        <is>
          <t>ANEBY</t>
        </is>
      </c>
      <c r="I13" t="n">
        <v>33.7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6</v>
      </c>
      <c r="U13" t="n">
        <v>6</v>
      </c>
      <c r="V13" s="2" t="inlineStr">
        <is>
          <t>Barbastell
Brunlångöra
Nordfladdermus
Dvärgpipistrell
Större brunfladdermus</t>
        </is>
      </c>
      <c r="W13">
        <f>HYPERLINK("https://klasma.github.io/Logging_0604/artfynd/S 574-2025 artfynd.xlsx", "S 574-2025")</f>
        <v/>
      </c>
      <c r="X13">
        <f>HYPERLINK("https://klasma.github.io/Logging_0604/kartor/S 574-2025 karta.png", "S 574-2025")</f>
        <v/>
      </c>
      <c r="Y13">
        <f>HYPERLINK("https://klasma.github.io/Logging_0604/kartor_geotiff/S 574-2025 georefererad karta.tif", "S 574-2025")</f>
        <v/>
      </c>
      <c r="Z13">
        <f>HYPERLINK("https://klasma.github.io/Logging_0604/knärot/S 574-2025 karta knärot.png", "S 574-2025")</f>
        <v/>
      </c>
      <c r="AA13">
        <f>HYPERLINK("https://klasma.github.io/Logging_0604/klagomål/S 574-2025 FSC-klagomål.docx", "S 574-2025")</f>
        <v/>
      </c>
      <c r="AB13">
        <f>HYPERLINK("https://klasma.github.io/Logging_0604/klagomålsmail/S 574-2025 FSC-klagomål mail.docx", "S 574-2025")</f>
        <v/>
      </c>
      <c r="AC13">
        <f>HYPERLINK("https://klasma.github.io/Logging_0604/tillsyn/S 574-2025 tillsynsbegäran.docx", "S 574-2025")</f>
        <v/>
      </c>
      <c r="AD13">
        <f>HYPERLINK("https://klasma.github.io/Logging_0604/tillsynsmail/S 574-2025 tillsynsbegäran mail.docx", "S 574-2025")</f>
        <v/>
      </c>
    </row>
    <row r="14" ht="15" customHeight="1">
      <c r="A14" t="inlineStr">
        <is>
          <t>S 3067-2025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45964</v>
      </c>
      <c r="E14" s="1" t="n">
        <v>46317</v>
      </c>
      <c r="F14" t="inlineStr">
        <is>
          <t>JÖNKÖPINGS LÄN</t>
        </is>
      </c>
      <c r="G14" t="inlineStr">
        <is>
          <t>ANEBY</t>
        </is>
      </c>
      <c r="I14" t="n">
        <v>0.4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5</v>
      </c>
      <c r="T14" t="n">
        <v>5</v>
      </c>
      <c r="U14" t="n">
        <v>0</v>
      </c>
      <c r="V14" s="2" t="inlineStr">
        <is>
          <t>Brunpudrad nållav
Kricka
Svart skogssnigel
Gulnål
Rostfläck</t>
        </is>
      </c>
      <c r="W14">
        <f>HYPERLINK("https://klasma.github.io/Logging_0604/artfynd/S 3067-2025 artfynd.xlsx", "S 3067-2025")</f>
        <v/>
      </c>
      <c r="X14">
        <f>HYPERLINK("https://klasma.github.io/Logging_0604/kartor/S 3067-2025 karta.png", "S 3067-2025")</f>
        <v/>
      </c>
      <c r="Y14">
        <f>HYPERLINK("https://klasma.github.io/Logging_0604/kartor_geotiff/S 3067-2025 georefererad karta.tif", "S 3067-2025")</f>
        <v/>
      </c>
      <c r="AA14">
        <f>HYPERLINK("https://klasma.github.io/Logging_0604/klagomål/S 3067-2025 FSC-klagomål.docx", "S 3067-2025")</f>
        <v/>
      </c>
      <c r="AB14">
        <f>HYPERLINK("https://klasma.github.io/Logging_0604/klagomålsmail/S 3067-2025 FSC-klagomål mail.docx", "S 3067-2025")</f>
        <v/>
      </c>
      <c r="AC14">
        <f>HYPERLINK("https://klasma.github.io/Logging_0604/tillsyn/S 3067-2025 tillsynsbegäran.docx", "S 3067-2025")</f>
        <v/>
      </c>
      <c r="AD14">
        <f>HYPERLINK("https://klasma.github.io/Logging_0604/tillsynsmail/S 3067-2025 tillsynsbegäran mail.docx", "S 3067-2025")</f>
        <v/>
      </c>
      <c r="AE14">
        <f>HYPERLINK("https://klasma.github.io/Logging_0604/fåglar/S 3067-2025 prioriterade fågelarter.docx", "S 3067-2025")</f>
        <v/>
      </c>
    </row>
    <row r="15" ht="15" customHeight="1">
      <c r="A15" t="inlineStr">
        <is>
          <t>A 37155-2024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45539</v>
      </c>
      <c r="E15" s="1" t="n">
        <v>46317</v>
      </c>
      <c r="F15" t="inlineStr">
        <is>
          <t>JÖNKÖPINGS LÄN</t>
        </is>
      </c>
      <c r="G15" t="inlineStr">
        <is>
          <t>ANEBY</t>
        </is>
      </c>
      <c r="I15" t="n">
        <v>6.2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4</v>
      </c>
      <c r="U15" t="n">
        <v>1</v>
      </c>
      <c r="V15" s="2" t="inlineStr">
        <is>
          <t>Talltita
Sångsvan
Trana
Ärtsångare</t>
        </is>
      </c>
      <c r="W15">
        <f>HYPERLINK("https://klasma.github.io/Logging_0604/artfynd/A 37155-2024 artfynd.xlsx", "A 37155-2024")</f>
        <v/>
      </c>
      <c r="X15">
        <f>HYPERLINK("https://klasma.github.io/Logging_0604/kartor/A 37155-2024 karta.png", "A 37155-2024")</f>
        <v/>
      </c>
      <c r="Y15">
        <f>HYPERLINK("https://klasma.github.io/Logging_0604/kartor_geotiff/A 37155-2024 georefererad karta.tif", "A 37155-2024")</f>
        <v/>
      </c>
      <c r="AA15">
        <f>HYPERLINK("https://klasma.github.io/Logging_0604/klagomål/A 37155-2024 FSC-klagomål.docx", "A 37155-2024")</f>
        <v/>
      </c>
      <c r="AB15">
        <f>HYPERLINK("https://klasma.github.io/Logging_0604/klagomålsmail/A 37155-2024 FSC-klagomål mail.docx", "A 37155-2024")</f>
        <v/>
      </c>
      <c r="AC15">
        <f>HYPERLINK("https://klasma.github.io/Logging_0604/tillsyn/A 37155-2024 tillsynsbegäran.docx", "A 37155-2024")</f>
        <v/>
      </c>
      <c r="AD15">
        <f>HYPERLINK("https://klasma.github.io/Logging_0604/tillsynsmail/A 37155-2024 tillsynsbegäran mail.docx", "A 37155-2024")</f>
        <v/>
      </c>
      <c r="AE15">
        <f>HYPERLINK("https://klasma.github.io/Logging_0604/fåglar/A 37155-2024 prioriterade fågelarter.docx", "A 37155-2024")</f>
        <v/>
      </c>
    </row>
    <row r="16" ht="15" customHeight="1">
      <c r="A16" t="inlineStr">
        <is>
          <t>A 60716-2025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45996</v>
      </c>
      <c r="E16" s="1" t="n">
        <v>46317</v>
      </c>
      <c r="F16" t="inlineStr">
        <is>
          <t>JÖNKÖPINGS LÄN</t>
        </is>
      </c>
      <c r="G16" t="inlineStr">
        <is>
          <t>ANEBY</t>
        </is>
      </c>
      <c r="I16" t="n">
        <v>4.8</v>
      </c>
      <c r="J16" t="n">
        <v>1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n">
        <v>10</v>
      </c>
      <c r="U16" t="n">
        <v>10</v>
      </c>
      <c r="V16" s="2" t="inlineStr">
        <is>
          <t>Knärot
Brandticka
Bronshjon
Vågbandad barkbock</t>
        </is>
      </c>
      <c r="W16">
        <f>HYPERLINK("https://klasma.github.io/Logging_0604/artfynd/A 60716-2025 artfynd.xlsx", "A 60716-2025")</f>
        <v/>
      </c>
      <c r="X16">
        <f>HYPERLINK("https://klasma.github.io/Logging_0604/kartor/A 60716-2025 karta.png", "A 60716-2025")</f>
        <v/>
      </c>
      <c r="Y16">
        <f>HYPERLINK("https://klasma.github.io/Logging_0604/kartor_geotiff/A 60716-2025 georefererad karta.tif", "A 60716-2025")</f>
        <v/>
      </c>
      <c r="Z16">
        <f>HYPERLINK("https://klasma.github.io/Logging_0604/knärot/A 60716-2025 karta knärot.png", "A 60716-2025")</f>
        <v/>
      </c>
      <c r="AA16">
        <f>HYPERLINK("https://klasma.github.io/Logging_0604/klagomål/A 60716-2025 FSC-klagomål.docx", "A 60716-2025")</f>
        <v/>
      </c>
      <c r="AB16">
        <f>HYPERLINK("https://klasma.github.io/Logging_0604/klagomålsmail/A 60716-2025 FSC-klagomål mail.docx", "A 60716-2025")</f>
        <v/>
      </c>
      <c r="AC16">
        <f>HYPERLINK("https://klasma.github.io/Logging_0604/tillsyn/A 60716-2025 tillsynsbegäran.docx", "A 60716-2025")</f>
        <v/>
      </c>
      <c r="AD16">
        <f>HYPERLINK("https://klasma.github.io/Logging_0604/tillsynsmail/A 60716-2025 tillsynsbegäran mail.docx", "A 60716-2025")</f>
        <v/>
      </c>
    </row>
    <row r="17" ht="15" customHeight="1">
      <c r="A17" t="inlineStr">
        <is>
          <t>A 18417-2026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46126</v>
      </c>
      <c r="E17" s="1" t="n">
        <v>46317</v>
      </c>
      <c r="F17" t="inlineStr">
        <is>
          <t>JÖNKÖPINGS LÄN</t>
        </is>
      </c>
      <c r="G17" t="inlineStr">
        <is>
          <t>ANEBY</t>
        </is>
      </c>
      <c r="I17" t="n">
        <v>1.5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4</v>
      </c>
      <c r="T17" t="n">
        <v>4</v>
      </c>
      <c r="U17" t="n">
        <v>0</v>
      </c>
      <c r="V17" s="2" t="inlineStr">
        <is>
          <t>Slåttergubbe
Jungfrulin
Ängsstarr
Fläcknycklar</t>
        </is>
      </c>
      <c r="W17">
        <f>HYPERLINK("https://klasma.github.io/Logging_0604/artfynd/A 18417-2026 artfynd.xlsx", "A 18417-2026")</f>
        <v/>
      </c>
      <c r="X17">
        <f>HYPERLINK("https://klasma.github.io/Logging_0604/kartor/A 18417-2026 karta.png", "A 18417-2026")</f>
        <v/>
      </c>
      <c r="Y17">
        <f>HYPERLINK("https://klasma.github.io/Logging_0604/kartor_geotiff/A 18417-2026 georefererad karta.tif", "A 18417-2026")</f>
        <v/>
      </c>
      <c r="AA17">
        <f>HYPERLINK("https://klasma.github.io/Logging_0604/klagomål/A 18417-2026 FSC-klagomål.docx", "A 18417-2026")</f>
        <v/>
      </c>
      <c r="AB17">
        <f>HYPERLINK("https://klasma.github.io/Logging_0604/klagomålsmail/A 18417-2026 FSC-klagomål mail.docx", "A 18417-2026")</f>
        <v/>
      </c>
      <c r="AC17">
        <f>HYPERLINK("https://klasma.github.io/Logging_0604/tillsyn/A 18417-2026 tillsynsbegäran.docx", "A 18417-2026")</f>
        <v/>
      </c>
      <c r="AD17">
        <f>HYPERLINK("https://klasma.github.io/Logging_0604/tillsynsmail/A 18417-2026 tillsynsbegäran mail.docx", "A 18417-2026")</f>
        <v/>
      </c>
    </row>
    <row r="18" ht="15" customHeight="1">
      <c r="A18" t="inlineStr">
        <is>
          <t>A 43750-2025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45912</v>
      </c>
      <c r="E18" s="1" t="n">
        <v>46317</v>
      </c>
      <c r="F18" t="inlineStr">
        <is>
          <t>JÖNKÖPINGS LÄN</t>
        </is>
      </c>
      <c r="G18" t="inlineStr">
        <is>
          <t>ANEBY</t>
        </is>
      </c>
      <c r="I18" t="n">
        <v>1.1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5</v>
      </c>
      <c r="U18" t="n">
        <v>3</v>
      </c>
      <c r="V18" s="2" t="inlineStr">
        <is>
          <t>Brunlångöra
Nordfladdermus
Björksplintborre
Större brunfladdermus</t>
        </is>
      </c>
      <c r="W18">
        <f>HYPERLINK("https://klasma.github.io/Logging_0604/artfynd/A 43750-2025 artfynd.xlsx", "A 43750-2025")</f>
        <v/>
      </c>
      <c r="X18">
        <f>HYPERLINK("https://klasma.github.io/Logging_0604/kartor/A 43750-2025 karta.png", "A 43750-2025")</f>
        <v/>
      </c>
      <c r="Y18">
        <f>HYPERLINK("https://klasma.github.io/Logging_0604/kartor_geotiff/A 43750-2025 georefererad karta.tif", "A 43750-2025")</f>
        <v/>
      </c>
      <c r="AA18">
        <f>HYPERLINK("https://klasma.github.io/Logging_0604/klagomål/A 43750-2025 FSC-klagomål.docx", "A 43750-2025")</f>
        <v/>
      </c>
      <c r="AB18">
        <f>HYPERLINK("https://klasma.github.io/Logging_0604/klagomålsmail/A 43750-2025 FSC-klagomål mail.docx", "A 43750-2025")</f>
        <v/>
      </c>
      <c r="AC18">
        <f>HYPERLINK("https://klasma.github.io/Logging_0604/tillsyn/A 43750-2025 tillsynsbegäran.docx", "A 43750-2025")</f>
        <v/>
      </c>
      <c r="AD18">
        <f>HYPERLINK("https://klasma.github.io/Logging_0604/tillsynsmail/A 43750-2025 tillsynsbegäran mail.docx", "A 43750-2025")</f>
        <v/>
      </c>
    </row>
    <row r="19" ht="15" customHeight="1">
      <c r="A19" t="inlineStr">
        <is>
          <t>A 9775-2026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46072</v>
      </c>
      <c r="E19" s="1" t="n">
        <v>46317</v>
      </c>
      <c r="F19" t="inlineStr">
        <is>
          <t>JÖNKÖPINGS LÄN</t>
        </is>
      </c>
      <c r="G19" t="inlineStr">
        <is>
          <t>ANEBY</t>
        </is>
      </c>
      <c r="I19" t="n">
        <v>2.6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Råttspindling
Hasselticka
Blåsippa</t>
        </is>
      </c>
      <c r="W19">
        <f>HYPERLINK("https://klasma.github.io/Logging_0604/artfynd/A 9775-2026 artfynd.xlsx", "A 9775-2026")</f>
        <v/>
      </c>
      <c r="X19">
        <f>HYPERLINK("https://klasma.github.io/Logging_0604/kartor/A 9775-2026 karta.png", "A 9775-2026")</f>
        <v/>
      </c>
      <c r="Y19">
        <f>HYPERLINK("https://klasma.github.io/Logging_0604/kartor_geotiff/A 9775-2026 georefererad karta.tif", "A 9775-2026")</f>
        <v/>
      </c>
      <c r="AA19">
        <f>HYPERLINK("https://klasma.github.io/Logging_0604/klagomål/A 9775-2026 FSC-klagomål.docx", "A 9775-2026")</f>
        <v/>
      </c>
      <c r="AB19">
        <f>HYPERLINK("https://klasma.github.io/Logging_0604/klagomålsmail/A 9775-2026 FSC-klagomål mail.docx", "A 9775-2026")</f>
        <v/>
      </c>
      <c r="AC19">
        <f>HYPERLINK("https://klasma.github.io/Logging_0604/tillsyn/A 9775-2026 tillsynsbegäran.docx", "A 9775-2026")</f>
        <v/>
      </c>
      <c r="AD19">
        <f>HYPERLINK("https://klasma.github.io/Logging_0604/tillsynsmail/A 9775-2026 tillsynsbegäran mail.docx", "A 9775-2026")</f>
        <v/>
      </c>
    </row>
    <row r="20" ht="15" customHeight="1">
      <c r="A20" t="inlineStr">
        <is>
          <t>A 230-2024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45293</v>
      </c>
      <c r="E20" s="1" t="n">
        <v>46317</v>
      </c>
      <c r="F20" t="inlineStr">
        <is>
          <t>JÖNKÖPINGS LÄN</t>
        </is>
      </c>
      <c r="G20" t="inlineStr">
        <is>
          <t>ANEBY</t>
        </is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4</v>
      </c>
      <c r="U20" t="n">
        <v>0</v>
      </c>
      <c r="V20" s="2" t="inlineStr">
        <is>
          <t>Kötticka
Spillkråka
Revlummer</t>
        </is>
      </c>
      <c r="W20">
        <f>HYPERLINK("https://klasma.github.io/Logging_0604/artfynd/A 230-2024 artfynd.xlsx", "A 230-2024")</f>
        <v/>
      </c>
      <c r="X20">
        <f>HYPERLINK("https://klasma.github.io/Logging_0604/kartor/A 230-2024 karta.png", "A 230-2024")</f>
        <v/>
      </c>
      <c r="Y20">
        <f>HYPERLINK("https://klasma.github.io/Logging_0604/kartor_geotiff/A 230-2024 georefererad karta.tif", "A 230-2024")</f>
        <v/>
      </c>
      <c r="AA20">
        <f>HYPERLINK("https://klasma.github.io/Logging_0604/klagomål/A 230-2024 FSC-klagomål.docx", "A 230-2024")</f>
        <v/>
      </c>
      <c r="AB20">
        <f>HYPERLINK("https://klasma.github.io/Logging_0604/klagomålsmail/A 230-2024 FSC-klagomål mail.docx", "A 230-2024")</f>
        <v/>
      </c>
      <c r="AC20">
        <f>HYPERLINK("https://klasma.github.io/Logging_0604/tillsyn/A 230-2024 tillsynsbegäran.docx", "A 230-2024")</f>
        <v/>
      </c>
      <c r="AD20">
        <f>HYPERLINK("https://klasma.github.io/Logging_0604/tillsynsmail/A 230-2024 tillsynsbegäran mail.docx", "A 230-2024")</f>
        <v/>
      </c>
      <c r="AE20">
        <f>HYPERLINK("https://klasma.github.io/Logging_0604/fåglar/A 230-2024 prioriterade fågelarter.docx", "A 230-2024")</f>
        <v/>
      </c>
    </row>
    <row r="21" ht="15" customHeight="1">
      <c r="A21" t="inlineStr">
        <is>
          <t>A 38672-2026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46283</v>
      </c>
      <c r="E21" s="1" t="n">
        <v>46317</v>
      </c>
      <c r="F21" t="inlineStr">
        <is>
          <t>JÖNKÖPINGS LÄN</t>
        </is>
      </c>
      <c r="G21" t="inlineStr">
        <is>
          <t>ANEBY</t>
        </is>
      </c>
      <c r="I21" t="n">
        <v>1.9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3</v>
      </c>
      <c r="U21" t="n">
        <v>0</v>
      </c>
      <c r="V21" s="2" t="inlineStr">
        <is>
          <t>Gullpudra
Strutbräken
Tibast</t>
        </is>
      </c>
      <c r="W21">
        <f>HYPERLINK("https://klasma.github.io/Logging_0604/artfynd/A 38672-2026 artfynd.xlsx", "A 38672-2026")</f>
        <v/>
      </c>
      <c r="X21">
        <f>HYPERLINK("https://klasma.github.io/Logging_0604/kartor/A 38672-2026 karta.png", "A 38672-2026")</f>
        <v/>
      </c>
      <c r="Y21">
        <f>HYPERLINK("https://klasma.github.io/Logging_0604/kartor_geotiff/A 38672-2026 georefererad karta.tif", "A 38672-2026")</f>
        <v/>
      </c>
      <c r="AA21">
        <f>HYPERLINK("https://klasma.github.io/Logging_0604/klagomål/A 38672-2026 FSC-klagomål.docx", "A 38672-2026")</f>
        <v/>
      </c>
      <c r="AB21">
        <f>HYPERLINK("https://klasma.github.io/Logging_0604/klagomålsmail/A 38672-2026 FSC-klagomål mail.docx", "A 38672-2026")</f>
        <v/>
      </c>
      <c r="AC21">
        <f>HYPERLINK("https://klasma.github.io/Logging_0604/tillsyn/A 38672-2026 tillsynsbegäran.docx", "A 38672-2026")</f>
        <v/>
      </c>
      <c r="AD21">
        <f>HYPERLINK("https://klasma.github.io/Logging_0604/tillsynsmail/A 38672-2026 tillsynsbegäran mail.docx", "A 38672-2026")</f>
        <v/>
      </c>
    </row>
    <row r="22" ht="15" customHeight="1">
      <c r="A22" t="inlineStr">
        <is>
          <t>A 10301-2024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45365</v>
      </c>
      <c r="E22" s="1" t="n">
        <v>46317</v>
      </c>
      <c r="F22" t="inlineStr">
        <is>
          <t>JÖNKÖPINGS LÄN</t>
        </is>
      </c>
      <c r="G22" t="inlineStr">
        <is>
          <t>ANEBY</t>
        </is>
      </c>
      <c r="H22" t="inlineStr">
        <is>
          <t>Sveaskog</t>
        </is>
      </c>
      <c r="I22" t="n">
        <v>2.7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3</v>
      </c>
      <c r="U22" t="n">
        <v>0</v>
      </c>
      <c r="V22" s="2" t="inlineStr">
        <is>
          <t>Tjäder
Vanlig groda
Grönvit nattviol</t>
        </is>
      </c>
      <c r="W22">
        <f>HYPERLINK("https://klasma.github.io/Logging_0604/artfynd/A 10301-2024 artfynd.xlsx", "A 10301-2024")</f>
        <v/>
      </c>
      <c r="X22">
        <f>HYPERLINK("https://klasma.github.io/Logging_0604/kartor/A 10301-2024 karta.png", "A 10301-2024")</f>
        <v/>
      </c>
      <c r="Y22">
        <f>HYPERLINK("https://klasma.github.io/Logging_0604/kartor_geotiff/A 10301-2024 georefererad karta.tif", "A 10301-2024")</f>
        <v/>
      </c>
      <c r="AA22">
        <f>HYPERLINK("https://klasma.github.io/Logging_0604/klagomål/A 10301-2024 FSC-klagomål.docx", "A 10301-2024")</f>
        <v/>
      </c>
      <c r="AB22">
        <f>HYPERLINK("https://klasma.github.io/Logging_0604/klagomålsmail/A 10301-2024 FSC-klagomål mail.docx", "A 10301-2024")</f>
        <v/>
      </c>
      <c r="AC22">
        <f>HYPERLINK("https://klasma.github.io/Logging_0604/tillsyn/A 10301-2024 tillsynsbegäran.docx", "A 10301-2024")</f>
        <v/>
      </c>
      <c r="AD22">
        <f>HYPERLINK("https://klasma.github.io/Logging_0604/tillsynsmail/A 10301-2024 tillsynsbegäran mail.docx", "A 10301-2024")</f>
        <v/>
      </c>
      <c r="AE22">
        <f>HYPERLINK("https://klasma.github.io/Logging_0604/fåglar/A 10301-2024 prioriterade fågelarter.docx", "A 10301-2024")</f>
        <v/>
      </c>
    </row>
    <row r="23" ht="15" customHeight="1">
      <c r="A23" t="inlineStr">
        <is>
          <t>A 8457-2025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45709</v>
      </c>
      <c r="E23" s="1" t="n">
        <v>46317</v>
      </c>
      <c r="F23" t="inlineStr">
        <is>
          <t>JÖNKÖPINGS LÄN</t>
        </is>
      </c>
      <c r="G23" t="inlineStr">
        <is>
          <t>ANEBY</t>
        </is>
      </c>
      <c r="I23" t="n">
        <v>13.1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4</v>
      </c>
      <c r="V23" s="2" t="inlineStr">
        <is>
          <t>Rödgul trumpetsvamp
Spillkråka
Lopplummer (aggregat)</t>
        </is>
      </c>
      <c r="W23">
        <f>HYPERLINK("https://klasma.github.io/Logging_0604/artfynd/A 8457-2025 artfynd.xlsx", "A 8457-2025")</f>
        <v/>
      </c>
      <c r="X23">
        <f>HYPERLINK("https://klasma.github.io/Logging_0604/kartor/A 8457-2025 karta.png", "A 8457-2025")</f>
        <v/>
      </c>
      <c r="Y23">
        <f>HYPERLINK("https://klasma.github.io/Logging_0604/kartor_geotiff/A 8457-2025 georefererad karta.tif", "A 8457-2025")</f>
        <v/>
      </c>
      <c r="AA23">
        <f>HYPERLINK("https://klasma.github.io/Logging_0604/klagomål/A 8457-2025 FSC-klagomål.docx", "A 8457-2025")</f>
        <v/>
      </c>
      <c r="AB23">
        <f>HYPERLINK("https://klasma.github.io/Logging_0604/klagomålsmail/A 8457-2025 FSC-klagomål mail.docx", "A 8457-2025")</f>
        <v/>
      </c>
      <c r="AC23">
        <f>HYPERLINK("https://klasma.github.io/Logging_0604/tillsyn/A 8457-2025 tillsynsbegäran.docx", "A 8457-2025")</f>
        <v/>
      </c>
      <c r="AD23">
        <f>HYPERLINK("https://klasma.github.io/Logging_0604/tillsynsmail/A 8457-2025 tillsynsbegäran mail.docx", "A 8457-2025")</f>
        <v/>
      </c>
      <c r="AE23">
        <f>HYPERLINK("https://klasma.github.io/Logging_0604/fåglar/A 8457-2025 prioriterade fågelarter.docx", "A 8457-2025")</f>
        <v/>
      </c>
    </row>
    <row r="24" ht="15" customHeight="1">
      <c r="A24" t="inlineStr">
        <is>
          <t>A 41291-2026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46300</v>
      </c>
      <c r="E24" s="1" t="n">
        <v>46317</v>
      </c>
      <c r="F24" t="inlineStr">
        <is>
          <t>JÖNKÖPINGS LÄN</t>
        </is>
      </c>
      <c r="G24" t="inlineStr">
        <is>
          <t>ANEBY</t>
        </is>
      </c>
      <c r="I24" t="n">
        <v>3.7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n">
        <v>3</v>
      </c>
      <c r="U24" t="n">
        <v>0</v>
      </c>
      <c r="V24" s="2" t="inlineStr">
        <is>
          <t>Knärot
Flagellkvastmossa
Kungsfågel</t>
        </is>
      </c>
      <c r="W24">
        <f>HYPERLINK("https://klasma.github.io/Logging_0604/artfynd/A 41291-2026 artfynd.xlsx", "A 41291-2026")</f>
        <v/>
      </c>
      <c r="X24">
        <f>HYPERLINK("https://klasma.github.io/Logging_0604/kartor/A 41291-2026 karta.png", "A 41291-2026")</f>
        <v/>
      </c>
      <c r="Y24">
        <f>HYPERLINK("https://klasma.github.io/Logging_0604/kartor_geotiff/A 41291-2026 georefererad karta.tif", "A 41291-2026")</f>
        <v/>
      </c>
      <c r="Z24">
        <f>HYPERLINK("https://klasma.github.io/Logging_0604/knärot/A 41291-2026 karta knärot.png", "A 41291-2026")</f>
        <v/>
      </c>
      <c r="AA24">
        <f>HYPERLINK("https://klasma.github.io/Logging_0604/klagomål/A 41291-2026 FSC-klagomål.docx", "A 41291-2026")</f>
        <v/>
      </c>
      <c r="AB24">
        <f>HYPERLINK("https://klasma.github.io/Logging_0604/klagomålsmail/A 41291-2026 FSC-klagomål mail.docx", "A 41291-2026")</f>
        <v/>
      </c>
      <c r="AC24">
        <f>HYPERLINK("https://klasma.github.io/Logging_0604/tillsyn/A 41291-2026 tillsynsbegäran.docx", "A 41291-2026")</f>
        <v/>
      </c>
      <c r="AD24">
        <f>HYPERLINK("https://klasma.github.io/Logging_0604/tillsynsmail/A 41291-2026 tillsynsbegäran mail.docx", "A 41291-2026")</f>
        <v/>
      </c>
    </row>
    <row r="25" ht="15" customHeight="1">
      <c r="A25" t="inlineStr">
        <is>
          <t>S 2451-2026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46283</v>
      </c>
      <c r="E25" s="1" t="n">
        <v>46317</v>
      </c>
      <c r="F25" t="inlineStr">
        <is>
          <t>JÖNKÖPINGS LÄN</t>
        </is>
      </c>
      <c r="G25" t="inlineStr">
        <is>
          <t>ANEBY</t>
        </is>
      </c>
      <c r="I25" t="n">
        <v>0.2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3</v>
      </c>
      <c r="U25" t="n">
        <v>0</v>
      </c>
      <c r="V25" s="2" t="inlineStr">
        <is>
          <t>Gullpudra
Strutbräken
Tibast</t>
        </is>
      </c>
      <c r="W25">
        <f>HYPERLINK("https://klasma.github.io/Logging_0604/artfynd/S 2451-2026 artfynd.xlsx", "S 2451-2026")</f>
        <v/>
      </c>
      <c r="X25">
        <f>HYPERLINK("https://klasma.github.io/Logging_0604/kartor/S 2451-2026 karta.png", "S 2451-2026")</f>
        <v/>
      </c>
      <c r="Y25">
        <f>HYPERLINK("https://klasma.github.io/Logging_0604/kartor_geotiff/S 2451-2026 georefererad karta.tif", "S 2451-2026")</f>
        <v/>
      </c>
      <c r="AA25">
        <f>HYPERLINK("https://klasma.github.io/Logging_0604/klagomål/S 2451-2026 FSC-klagomål.docx", "S 2451-2026")</f>
        <v/>
      </c>
      <c r="AB25">
        <f>HYPERLINK("https://klasma.github.io/Logging_0604/klagomålsmail/S 2451-2026 FSC-klagomål mail.docx", "S 2451-2026")</f>
        <v/>
      </c>
      <c r="AC25">
        <f>HYPERLINK("https://klasma.github.io/Logging_0604/tillsyn/S 2451-2026 tillsynsbegäran.docx", "S 2451-2026")</f>
        <v/>
      </c>
      <c r="AD25">
        <f>HYPERLINK("https://klasma.github.io/Logging_0604/tillsynsmail/S 2451-2026 tillsynsbegäran mail.docx", "S 2451-2026")</f>
        <v/>
      </c>
    </row>
    <row r="26" ht="15" customHeight="1">
      <c r="A26" t="inlineStr">
        <is>
          <t>A 49437-2023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45205</v>
      </c>
      <c r="E26" s="1" t="n">
        <v>46317</v>
      </c>
      <c r="F26" t="inlineStr">
        <is>
          <t>JÖNKÖPINGS LÄN</t>
        </is>
      </c>
      <c r="G26" t="inlineStr">
        <is>
          <t>ANEBY</t>
        </is>
      </c>
      <c r="H26" t="inlineStr">
        <is>
          <t>Övriga Aktiebolag</t>
        </is>
      </c>
      <c r="I26" t="n">
        <v>4.3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2</v>
      </c>
      <c r="U26" t="n">
        <v>1</v>
      </c>
      <c r="V26" s="2" t="inlineStr">
        <is>
          <t>Gullpudra
Kungsfågel</t>
        </is>
      </c>
      <c r="W26">
        <f>HYPERLINK("https://klasma.github.io/Logging_0604/artfynd/A 49437-2023 artfynd.xlsx", "A 49437-2023")</f>
        <v/>
      </c>
      <c r="X26">
        <f>HYPERLINK("https://klasma.github.io/Logging_0604/kartor/A 49437-2023 karta.png", "A 49437-2023")</f>
        <v/>
      </c>
      <c r="Y26">
        <f>HYPERLINK("https://klasma.github.io/Logging_0604/kartor_geotiff/A 49437-2023 georefererad karta.tif", "A 49437-2023")</f>
        <v/>
      </c>
      <c r="AA26">
        <f>HYPERLINK("https://klasma.github.io/Logging_0604/klagomål/A 49437-2023 FSC-klagomål.docx", "A 49437-2023")</f>
        <v/>
      </c>
      <c r="AB26">
        <f>HYPERLINK("https://klasma.github.io/Logging_0604/klagomålsmail/A 49437-2023 FSC-klagomål mail.docx", "A 49437-2023")</f>
        <v/>
      </c>
      <c r="AC26">
        <f>HYPERLINK("https://klasma.github.io/Logging_0604/tillsyn/A 49437-2023 tillsynsbegäran.docx", "A 49437-2023")</f>
        <v/>
      </c>
      <c r="AD26">
        <f>HYPERLINK("https://klasma.github.io/Logging_0604/tillsynsmail/A 49437-2023 tillsynsbegäran mail.docx", "A 49437-2023")</f>
        <v/>
      </c>
    </row>
    <row r="27" ht="15" customHeight="1">
      <c r="A27" t="inlineStr">
        <is>
          <t>A 27285-2026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46184</v>
      </c>
      <c r="E27" s="1" t="n">
        <v>46317</v>
      </c>
      <c r="F27" t="inlineStr">
        <is>
          <t>JÖNKÖPINGS LÄN</t>
        </is>
      </c>
      <c r="G27" t="inlineStr">
        <is>
          <t>ANEBY</t>
        </is>
      </c>
      <c r="H27" t="inlineStr">
        <is>
          <t>Övriga Aktiebolag</t>
        </is>
      </c>
      <c r="I27" t="n">
        <v>4.4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Grönsiska
Kungsfågel</t>
        </is>
      </c>
      <c r="W27">
        <f>HYPERLINK("https://klasma.github.io/Logging_0604/artfynd/A 27285-2026 artfynd.xlsx", "A 27285-2026")</f>
        <v/>
      </c>
      <c r="X27">
        <f>HYPERLINK("https://klasma.github.io/Logging_0604/kartor/A 27285-2026 karta.png", "A 27285-2026")</f>
        <v/>
      </c>
      <c r="Y27">
        <f>HYPERLINK("https://klasma.github.io/Logging_0604/kartor_geotiff/A 27285-2026 georefererad karta.tif", "A 27285-2026")</f>
        <v/>
      </c>
      <c r="AA27">
        <f>HYPERLINK("https://klasma.github.io/Logging_0604/klagomål/A 27285-2026 FSC-klagomål.docx", "A 27285-2026")</f>
        <v/>
      </c>
      <c r="AB27">
        <f>HYPERLINK("https://klasma.github.io/Logging_0604/klagomålsmail/A 27285-2026 FSC-klagomål mail.docx", "A 27285-2026")</f>
        <v/>
      </c>
      <c r="AC27">
        <f>HYPERLINK("https://klasma.github.io/Logging_0604/tillsyn/A 27285-2026 tillsynsbegäran.docx", "A 27285-2026")</f>
        <v/>
      </c>
      <c r="AD27">
        <f>HYPERLINK("https://klasma.github.io/Logging_0604/tillsynsmail/A 27285-2026 tillsynsbegäran mail.docx", "A 27285-2026")</f>
        <v/>
      </c>
    </row>
    <row r="28" ht="15" customHeight="1">
      <c r="A28" t="inlineStr">
        <is>
          <t>A 17130-2022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44677</v>
      </c>
      <c r="E28" s="1" t="n">
        <v>46317</v>
      </c>
      <c r="F28" t="inlineStr">
        <is>
          <t>JÖNKÖPINGS LÄN</t>
        </is>
      </c>
      <c r="G28" t="inlineStr">
        <is>
          <t>ANEBY</t>
        </is>
      </c>
      <c r="I28" t="n">
        <v>4.2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2</v>
      </c>
      <c r="U28" t="n">
        <v>2</v>
      </c>
      <c r="V28" s="2" t="inlineStr">
        <is>
          <t>Korallrot
Spindelblomster</t>
        </is>
      </c>
      <c r="W28">
        <f>HYPERLINK("https://klasma.github.io/Logging_0604/artfynd/A 17130-2022 artfynd.xlsx", "A 17130-2022")</f>
        <v/>
      </c>
      <c r="X28">
        <f>HYPERLINK("https://klasma.github.io/Logging_0604/kartor/A 17130-2022 karta.png", "A 17130-2022")</f>
        <v/>
      </c>
      <c r="Y28">
        <f>HYPERLINK("https://klasma.github.io/Logging_0604/kartor_geotiff/A 17130-2022 georefererad karta.tif", "A 17130-2022")</f>
        <v/>
      </c>
      <c r="AA28">
        <f>HYPERLINK("https://klasma.github.io/Logging_0604/klagomål/A 17130-2022 FSC-klagomål.docx", "A 17130-2022")</f>
        <v/>
      </c>
      <c r="AB28">
        <f>HYPERLINK("https://klasma.github.io/Logging_0604/klagomålsmail/A 17130-2022 FSC-klagomål mail.docx", "A 17130-2022")</f>
        <v/>
      </c>
      <c r="AC28">
        <f>HYPERLINK("https://klasma.github.io/Logging_0604/tillsyn/A 17130-2022 tillsynsbegäran.docx", "A 17130-2022")</f>
        <v/>
      </c>
      <c r="AD28">
        <f>HYPERLINK("https://klasma.github.io/Logging_0604/tillsynsmail/A 17130-2022 tillsynsbegäran mail.docx", "A 17130-2022")</f>
        <v/>
      </c>
    </row>
    <row r="29" ht="15" customHeight="1">
      <c r="A29" t="inlineStr">
        <is>
          <t>A 63467-2021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44508</v>
      </c>
      <c r="E29" s="1" t="n">
        <v>46317</v>
      </c>
      <c r="F29" t="inlineStr">
        <is>
          <t>JÖNKÖPINGS LÄN</t>
        </is>
      </c>
      <c r="G29" t="inlineStr">
        <is>
          <t>ANEBY</t>
        </is>
      </c>
      <c r="I29" t="n">
        <v>0.5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s="2" t="inlineStr">
        <is>
          <t>Åkerrättika</t>
        </is>
      </c>
      <c r="W29">
        <f>HYPERLINK("https://klasma.github.io/Logging_0604/artfynd/A 63467-2021 artfynd.xlsx", "A 63467-2021")</f>
        <v/>
      </c>
      <c r="X29">
        <f>HYPERLINK("https://klasma.github.io/Logging_0604/kartor/A 63467-2021 karta.png", "A 63467-2021")</f>
        <v/>
      </c>
      <c r="Y29">
        <f>HYPERLINK("https://klasma.github.io/Logging_0604/kartor_geotiff/A 63467-2021 georefererad karta.tif", "A 63467-2021")</f>
        <v/>
      </c>
      <c r="AA29">
        <f>HYPERLINK("https://klasma.github.io/Logging_0604/klagomål/A 63467-2021 FSC-klagomål.docx", "A 63467-2021")</f>
        <v/>
      </c>
      <c r="AB29">
        <f>HYPERLINK("https://klasma.github.io/Logging_0604/klagomålsmail/A 63467-2021 FSC-klagomål mail.docx", "A 63467-2021")</f>
        <v/>
      </c>
      <c r="AC29">
        <f>HYPERLINK("https://klasma.github.io/Logging_0604/tillsyn/A 63467-2021 tillsynsbegäran.docx", "A 63467-2021")</f>
        <v/>
      </c>
      <c r="AD29">
        <f>HYPERLINK("https://klasma.github.io/Logging_0604/tillsynsmail/A 63467-2021 tillsynsbegäran mail.docx", "A 63467-2021")</f>
        <v/>
      </c>
    </row>
    <row r="30" ht="15" customHeight="1">
      <c r="A30" t="inlineStr">
        <is>
          <t>A 24863-2024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45461</v>
      </c>
      <c r="E30" s="1" t="n">
        <v>46317</v>
      </c>
      <c r="F30" t="inlineStr">
        <is>
          <t>JÖNKÖPINGS LÄN</t>
        </is>
      </c>
      <c r="G30" t="inlineStr">
        <is>
          <t>ANEBY</t>
        </is>
      </c>
      <c r="I30" t="n">
        <v>4.8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Järpe</t>
        </is>
      </c>
      <c r="W30">
        <f>HYPERLINK("https://klasma.github.io/Logging_0604/artfynd/A 24863-2024 artfynd.xlsx", "A 24863-2024")</f>
        <v/>
      </c>
      <c r="X30">
        <f>HYPERLINK("https://klasma.github.io/Logging_0604/kartor/A 24863-2024 karta.png", "A 24863-2024")</f>
        <v/>
      </c>
      <c r="Y30">
        <f>HYPERLINK("https://klasma.github.io/Logging_0604/kartor_geotiff/A 24863-2024 georefererad karta.tif", "A 24863-2024")</f>
        <v/>
      </c>
      <c r="AA30">
        <f>HYPERLINK("https://klasma.github.io/Logging_0604/klagomål/A 24863-2024 FSC-klagomål.docx", "A 24863-2024")</f>
        <v/>
      </c>
      <c r="AB30">
        <f>HYPERLINK("https://klasma.github.io/Logging_0604/klagomålsmail/A 24863-2024 FSC-klagomål mail.docx", "A 24863-2024")</f>
        <v/>
      </c>
      <c r="AC30">
        <f>HYPERLINK("https://klasma.github.io/Logging_0604/tillsyn/A 24863-2024 tillsynsbegäran.docx", "A 24863-2024")</f>
        <v/>
      </c>
      <c r="AD30">
        <f>HYPERLINK("https://klasma.github.io/Logging_0604/tillsynsmail/A 24863-2024 tillsynsbegäran mail.docx", "A 24863-2024")</f>
        <v/>
      </c>
      <c r="AE30">
        <f>HYPERLINK("https://klasma.github.io/Logging_0604/fåglar/A 24863-2024 prioriterade fågelarter.docx", "A 24863-2024")</f>
        <v/>
      </c>
    </row>
    <row r="31" ht="15" customHeight="1">
      <c r="A31" t="inlineStr">
        <is>
          <t>A 40897-2024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45558</v>
      </c>
      <c r="E31" s="1" t="n">
        <v>46317</v>
      </c>
      <c r="F31" t="inlineStr">
        <is>
          <t>JÖNKÖPINGS LÄN</t>
        </is>
      </c>
      <c r="G31" t="inlineStr">
        <is>
          <t>ANEBY</t>
        </is>
      </c>
      <c r="I31" t="n">
        <v>3.3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s="2" t="inlineStr">
        <is>
          <t>Fläckmaskros</t>
        </is>
      </c>
      <c r="W31">
        <f>HYPERLINK("https://klasma.github.io/Logging_0604/artfynd/A 40897-2024 artfynd.xlsx", "A 40897-2024")</f>
        <v/>
      </c>
      <c r="X31">
        <f>HYPERLINK("https://klasma.github.io/Logging_0604/kartor/A 40897-2024 karta.png", "A 40897-2024")</f>
        <v/>
      </c>
      <c r="Y31">
        <f>HYPERLINK("https://klasma.github.io/Logging_0604/kartor_geotiff/A 40897-2024 georefererad karta.tif", "A 40897-2024")</f>
        <v/>
      </c>
      <c r="AA31">
        <f>HYPERLINK("https://klasma.github.io/Logging_0604/klagomål/A 40897-2024 FSC-klagomål.docx", "A 40897-2024")</f>
        <v/>
      </c>
      <c r="AB31">
        <f>HYPERLINK("https://klasma.github.io/Logging_0604/klagomålsmail/A 40897-2024 FSC-klagomål mail.docx", "A 40897-2024")</f>
        <v/>
      </c>
      <c r="AC31">
        <f>HYPERLINK("https://klasma.github.io/Logging_0604/tillsyn/A 40897-2024 tillsynsbegäran.docx", "A 40897-2024")</f>
        <v/>
      </c>
      <c r="AD31">
        <f>HYPERLINK("https://klasma.github.io/Logging_0604/tillsynsmail/A 40897-2024 tillsynsbegäran mail.docx", "A 40897-2024")</f>
        <v/>
      </c>
    </row>
    <row r="32" ht="15" customHeight="1">
      <c r="A32" t="inlineStr">
        <is>
          <t>A 48560-2025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45936</v>
      </c>
      <c r="E32" s="1" t="n">
        <v>46317</v>
      </c>
      <c r="F32" t="inlineStr">
        <is>
          <t>JÖNKÖPINGS LÄN</t>
        </is>
      </c>
      <c r="G32" t="inlineStr">
        <is>
          <t>ANEBY</t>
        </is>
      </c>
      <c r="I32" t="n">
        <v>0.4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Dofttaggsvamp</t>
        </is>
      </c>
      <c r="W32">
        <f>HYPERLINK("https://klasma.github.io/Logging_0604/artfynd/A 48560-2025 artfynd.xlsx", "A 48560-2025")</f>
        <v/>
      </c>
      <c r="X32">
        <f>HYPERLINK("https://klasma.github.io/Logging_0604/kartor/A 48560-2025 karta.png", "A 48560-2025")</f>
        <v/>
      </c>
      <c r="Y32">
        <f>HYPERLINK("https://klasma.github.io/Logging_0604/kartor_geotiff/A 48560-2025 georefererad karta.tif", "A 48560-2025")</f>
        <v/>
      </c>
      <c r="AA32">
        <f>HYPERLINK("https://klasma.github.io/Logging_0604/klagomål/A 48560-2025 FSC-klagomål.docx", "A 48560-2025")</f>
        <v/>
      </c>
      <c r="AB32">
        <f>HYPERLINK("https://klasma.github.io/Logging_0604/klagomålsmail/A 48560-2025 FSC-klagomål mail.docx", "A 48560-2025")</f>
        <v/>
      </c>
      <c r="AC32">
        <f>HYPERLINK("https://klasma.github.io/Logging_0604/tillsyn/A 48560-2025 tillsynsbegäran.docx", "A 48560-2025")</f>
        <v/>
      </c>
      <c r="AD32">
        <f>HYPERLINK("https://klasma.github.io/Logging_0604/tillsynsmail/A 48560-2025 tillsynsbegäran mail.docx", "A 48560-2025")</f>
        <v/>
      </c>
    </row>
    <row r="33" ht="15" customHeight="1">
      <c r="A33" t="inlineStr">
        <is>
          <t>A 38728-2024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45547</v>
      </c>
      <c r="E33" s="1" t="n">
        <v>46317</v>
      </c>
      <c r="F33" t="inlineStr">
        <is>
          <t>JÖNKÖPINGS LÄN</t>
        </is>
      </c>
      <c r="G33" t="inlineStr">
        <is>
          <t>ANEBY</t>
        </is>
      </c>
      <c r="I33" t="n">
        <v>5.5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Talltita</t>
        </is>
      </c>
      <c r="W33">
        <f>HYPERLINK("https://klasma.github.io/Logging_0604/artfynd/A 38728-2024 artfynd.xlsx", "A 38728-2024")</f>
        <v/>
      </c>
      <c r="X33">
        <f>HYPERLINK("https://klasma.github.io/Logging_0604/kartor/A 38728-2024 karta.png", "A 38728-2024")</f>
        <v/>
      </c>
      <c r="Y33">
        <f>HYPERLINK("https://klasma.github.io/Logging_0604/kartor_geotiff/A 38728-2024 georefererad karta.tif", "A 38728-2024")</f>
        <v/>
      </c>
      <c r="AA33">
        <f>HYPERLINK("https://klasma.github.io/Logging_0604/klagomål/A 38728-2024 FSC-klagomål.docx", "A 38728-2024")</f>
        <v/>
      </c>
      <c r="AB33">
        <f>HYPERLINK("https://klasma.github.io/Logging_0604/klagomålsmail/A 38728-2024 FSC-klagomål mail.docx", "A 38728-2024")</f>
        <v/>
      </c>
      <c r="AC33">
        <f>HYPERLINK("https://klasma.github.io/Logging_0604/tillsyn/A 38728-2024 tillsynsbegäran.docx", "A 38728-2024")</f>
        <v/>
      </c>
      <c r="AD33">
        <f>HYPERLINK("https://klasma.github.io/Logging_0604/tillsynsmail/A 38728-2024 tillsynsbegäran mail.docx", "A 38728-2024")</f>
        <v/>
      </c>
      <c r="AE33">
        <f>HYPERLINK("https://klasma.github.io/Logging_0604/fåglar/A 38728-2024 prioriterade fågelarter.docx", "A 38728-2024")</f>
        <v/>
      </c>
    </row>
    <row r="34" ht="15" customHeight="1">
      <c r="A34" t="inlineStr">
        <is>
          <t>A 13163-2024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45386</v>
      </c>
      <c r="E34" s="1" t="n">
        <v>46317</v>
      </c>
      <c r="F34" t="inlineStr">
        <is>
          <t>JÖNKÖPINGS LÄN</t>
        </is>
      </c>
      <c r="G34" t="inlineStr">
        <is>
          <t>ANEBY</t>
        </is>
      </c>
      <c r="I34" t="n">
        <v>6.9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Lopplummer (aggregat)</t>
        </is>
      </c>
      <c r="W34">
        <f>HYPERLINK("https://klasma.github.io/Logging_0604/artfynd/A 13163-2024 artfynd.xlsx", "A 13163-2024")</f>
        <v/>
      </c>
      <c r="X34">
        <f>HYPERLINK("https://klasma.github.io/Logging_0604/kartor/A 13163-2024 karta.png", "A 13163-2024")</f>
        <v/>
      </c>
      <c r="Y34">
        <f>HYPERLINK("https://klasma.github.io/Logging_0604/kartor_geotiff/A 13163-2024 georefererad karta.tif", "A 13163-2024")</f>
        <v/>
      </c>
      <c r="AA34">
        <f>HYPERLINK("https://klasma.github.io/Logging_0604/klagomål/A 13163-2024 FSC-klagomål.docx", "A 13163-2024")</f>
        <v/>
      </c>
      <c r="AB34">
        <f>HYPERLINK("https://klasma.github.io/Logging_0604/klagomålsmail/A 13163-2024 FSC-klagomål mail.docx", "A 13163-2024")</f>
        <v/>
      </c>
      <c r="AC34">
        <f>HYPERLINK("https://klasma.github.io/Logging_0604/tillsyn/A 13163-2024 tillsynsbegäran.docx", "A 13163-2024")</f>
        <v/>
      </c>
      <c r="AD34">
        <f>HYPERLINK("https://klasma.github.io/Logging_0604/tillsynsmail/A 13163-2024 tillsynsbegäran mail.docx", "A 13163-2024")</f>
        <v/>
      </c>
    </row>
    <row r="35" ht="15" customHeight="1">
      <c r="A35" t="inlineStr">
        <is>
          <t>A 28452-2022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44747</v>
      </c>
      <c r="E35" s="1" t="n">
        <v>46317</v>
      </c>
      <c r="F35" t="inlineStr">
        <is>
          <t>JÖNKÖPINGS LÄN</t>
        </is>
      </c>
      <c r="G35" t="inlineStr">
        <is>
          <t>ANEBY</t>
        </is>
      </c>
      <c r="I35" t="n">
        <v>1.2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Odontocerum albicorne</t>
        </is>
      </c>
      <c r="W35">
        <f>HYPERLINK("https://klasma.github.io/Logging_0604/artfynd/A 28452-2022 artfynd.xlsx", "A 28452-2022")</f>
        <v/>
      </c>
      <c r="X35">
        <f>HYPERLINK("https://klasma.github.io/Logging_0604/kartor/A 28452-2022 karta.png", "A 28452-2022")</f>
        <v/>
      </c>
      <c r="Y35">
        <f>HYPERLINK("https://klasma.github.io/Logging_0604/kartor_geotiff/A 28452-2022 georefererad karta.tif", "A 28452-2022")</f>
        <v/>
      </c>
      <c r="AA35">
        <f>HYPERLINK("https://klasma.github.io/Logging_0604/klagomål/A 28452-2022 FSC-klagomål.docx", "A 28452-2022")</f>
        <v/>
      </c>
      <c r="AB35">
        <f>HYPERLINK("https://klasma.github.io/Logging_0604/klagomålsmail/A 28452-2022 FSC-klagomål mail.docx", "A 28452-2022")</f>
        <v/>
      </c>
      <c r="AC35">
        <f>HYPERLINK("https://klasma.github.io/Logging_0604/tillsyn/A 28452-2022 tillsynsbegäran.docx", "A 28452-2022")</f>
        <v/>
      </c>
      <c r="AD35">
        <f>HYPERLINK("https://klasma.github.io/Logging_0604/tillsynsmail/A 28452-2022 tillsynsbegäran mail.docx", "A 28452-2022")</f>
        <v/>
      </c>
    </row>
    <row r="36" ht="15" customHeight="1">
      <c r="A36" t="inlineStr">
        <is>
          <t>A 38338-2023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45161</v>
      </c>
      <c r="E36" s="1" t="n">
        <v>46317</v>
      </c>
      <c r="F36" t="inlineStr">
        <is>
          <t>JÖNKÖPINGS LÄN</t>
        </is>
      </c>
      <c r="G36" t="inlineStr">
        <is>
          <t>ANEBY</t>
        </is>
      </c>
      <c r="I36" t="n">
        <v>1.4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Grönvit nattviol</t>
        </is>
      </c>
      <c r="W36">
        <f>HYPERLINK("https://klasma.github.io/Logging_0604/artfynd/A 38338-2023 artfynd.xlsx", "A 38338-2023")</f>
        <v/>
      </c>
      <c r="X36">
        <f>HYPERLINK("https://klasma.github.io/Logging_0604/kartor/A 38338-2023 karta.png", "A 38338-2023")</f>
        <v/>
      </c>
      <c r="Y36">
        <f>HYPERLINK("https://klasma.github.io/Logging_0604/kartor_geotiff/A 38338-2023 georefererad karta.tif", "A 38338-2023")</f>
        <v/>
      </c>
      <c r="AA36">
        <f>HYPERLINK("https://klasma.github.io/Logging_0604/klagomål/A 38338-2023 FSC-klagomål.docx", "A 38338-2023")</f>
        <v/>
      </c>
      <c r="AB36">
        <f>HYPERLINK("https://klasma.github.io/Logging_0604/klagomålsmail/A 38338-2023 FSC-klagomål mail.docx", "A 38338-2023")</f>
        <v/>
      </c>
      <c r="AC36">
        <f>HYPERLINK("https://klasma.github.io/Logging_0604/tillsyn/A 38338-2023 tillsynsbegäran.docx", "A 38338-2023")</f>
        <v/>
      </c>
      <c r="AD36">
        <f>HYPERLINK("https://klasma.github.io/Logging_0604/tillsynsmail/A 38338-2023 tillsynsbegäran mail.docx", "A 38338-2023")</f>
        <v/>
      </c>
    </row>
    <row r="37" ht="15" customHeight="1">
      <c r="A37" t="inlineStr">
        <is>
          <t>A 412-2022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44565</v>
      </c>
      <c r="E37" s="1" t="n">
        <v>46317</v>
      </c>
      <c r="F37" t="inlineStr">
        <is>
          <t>JÖNKÖPINGS LÄN</t>
        </is>
      </c>
      <c r="G37" t="inlineStr">
        <is>
          <t>ANEBY</t>
        </is>
      </c>
      <c r="I37" t="n">
        <v>6.7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Fläcknycklar</t>
        </is>
      </c>
      <c r="W37">
        <f>HYPERLINK("https://klasma.github.io/Logging_0604/artfynd/A 412-2022 artfynd.xlsx", "A 412-2022")</f>
        <v/>
      </c>
      <c r="X37">
        <f>HYPERLINK("https://klasma.github.io/Logging_0604/kartor/A 412-2022 karta.png", "A 412-2022")</f>
        <v/>
      </c>
      <c r="Y37">
        <f>HYPERLINK("https://klasma.github.io/Logging_0604/kartor_geotiff/A 412-2022 georefererad karta.tif", "A 412-2022")</f>
        <v/>
      </c>
      <c r="AA37">
        <f>HYPERLINK("https://klasma.github.io/Logging_0604/klagomål/A 412-2022 FSC-klagomål.docx", "A 412-2022")</f>
        <v/>
      </c>
      <c r="AB37">
        <f>HYPERLINK("https://klasma.github.io/Logging_0604/klagomålsmail/A 412-2022 FSC-klagomål mail.docx", "A 412-2022")</f>
        <v/>
      </c>
      <c r="AC37">
        <f>HYPERLINK("https://klasma.github.io/Logging_0604/tillsyn/A 412-2022 tillsynsbegäran.docx", "A 412-2022")</f>
        <v/>
      </c>
      <c r="AD37">
        <f>HYPERLINK("https://klasma.github.io/Logging_0604/tillsynsmail/A 412-2022 tillsynsbegäran mail.docx", "A 412-2022")</f>
        <v/>
      </c>
    </row>
    <row r="38" ht="15" customHeight="1">
      <c r="A38" t="inlineStr">
        <is>
          <t>A 53251-2023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45229</v>
      </c>
      <c r="E38" s="1" t="n">
        <v>46317</v>
      </c>
      <c r="F38" t="inlineStr">
        <is>
          <t>JÖNKÖPINGS LÄN</t>
        </is>
      </c>
      <c r="G38" t="inlineStr">
        <is>
          <t>ANEBY</t>
        </is>
      </c>
      <c r="I38" t="n">
        <v>2.2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s="2" t="inlineStr">
        <is>
          <t>Slåttergubbe</t>
        </is>
      </c>
      <c r="W38">
        <f>HYPERLINK("https://klasma.github.io/Logging_0604/artfynd/A 53251-2023 artfynd.xlsx", "A 53251-2023")</f>
        <v/>
      </c>
      <c r="X38">
        <f>HYPERLINK("https://klasma.github.io/Logging_0604/kartor/A 53251-2023 karta.png", "A 53251-2023")</f>
        <v/>
      </c>
      <c r="Y38">
        <f>HYPERLINK("https://klasma.github.io/Logging_0604/kartor_geotiff/A 53251-2023 georefererad karta.tif", "A 53251-2023")</f>
        <v/>
      </c>
      <c r="AA38">
        <f>HYPERLINK("https://klasma.github.io/Logging_0604/klagomål/A 53251-2023 FSC-klagomål.docx", "A 53251-2023")</f>
        <v/>
      </c>
      <c r="AB38">
        <f>HYPERLINK("https://klasma.github.io/Logging_0604/klagomålsmail/A 53251-2023 FSC-klagomål mail.docx", "A 53251-2023")</f>
        <v/>
      </c>
      <c r="AC38">
        <f>HYPERLINK("https://klasma.github.io/Logging_0604/tillsyn/A 53251-2023 tillsynsbegäran.docx", "A 53251-2023")</f>
        <v/>
      </c>
      <c r="AD38">
        <f>HYPERLINK("https://klasma.github.io/Logging_0604/tillsynsmail/A 53251-2023 tillsynsbegäran mail.docx", "A 53251-2023")</f>
        <v/>
      </c>
    </row>
    <row r="39" ht="15" customHeight="1">
      <c r="A39" t="inlineStr">
        <is>
          <t>A 10358-2024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45365</v>
      </c>
      <c r="E39" s="1" t="n">
        <v>46317</v>
      </c>
      <c r="F39" t="inlineStr">
        <is>
          <t>JÖNKÖPINGS LÄN</t>
        </is>
      </c>
      <c r="G39" t="inlineStr">
        <is>
          <t>ANEBY</t>
        </is>
      </c>
      <c r="H39" t="inlineStr">
        <is>
          <t>Sveaskog</t>
        </is>
      </c>
      <c r="I39" t="n">
        <v>3.8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Revlummer</t>
        </is>
      </c>
      <c r="W39">
        <f>HYPERLINK("https://klasma.github.io/Logging_0604/artfynd/A 10358-2024 artfynd.xlsx", "A 10358-2024")</f>
        <v/>
      </c>
      <c r="X39">
        <f>HYPERLINK("https://klasma.github.io/Logging_0604/kartor/A 10358-2024 karta.png", "A 10358-2024")</f>
        <v/>
      </c>
      <c r="Y39">
        <f>HYPERLINK("https://klasma.github.io/Logging_0604/kartor_geotiff/A 10358-2024 georefererad karta.tif", "A 10358-2024")</f>
        <v/>
      </c>
      <c r="AA39">
        <f>HYPERLINK("https://klasma.github.io/Logging_0604/klagomål/A 10358-2024 FSC-klagomål.docx", "A 10358-2024")</f>
        <v/>
      </c>
      <c r="AB39">
        <f>HYPERLINK("https://klasma.github.io/Logging_0604/klagomålsmail/A 10358-2024 FSC-klagomål mail.docx", "A 10358-2024")</f>
        <v/>
      </c>
      <c r="AC39">
        <f>HYPERLINK("https://klasma.github.io/Logging_0604/tillsyn/A 10358-2024 tillsynsbegäran.docx", "A 10358-2024")</f>
        <v/>
      </c>
      <c r="AD39">
        <f>HYPERLINK("https://klasma.github.io/Logging_0604/tillsynsmail/A 10358-2024 tillsynsbegäran mail.docx", "A 10358-2024")</f>
        <v/>
      </c>
    </row>
    <row r="40" ht="15" customHeight="1">
      <c r="A40" t="inlineStr">
        <is>
          <t>A 26784-2022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44740</v>
      </c>
      <c r="E40" s="1" t="n">
        <v>46317</v>
      </c>
      <c r="F40" t="inlineStr">
        <is>
          <t>JÖNKÖPINGS LÄN</t>
        </is>
      </c>
      <c r="G40" t="inlineStr">
        <is>
          <t>ANEBY</t>
        </is>
      </c>
      <c r="I40" t="n">
        <v>1.1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Vårstarr</t>
        </is>
      </c>
      <c r="W40">
        <f>HYPERLINK("https://klasma.github.io/Logging_0604/artfynd/A 26784-2022 artfynd.xlsx", "A 26784-2022")</f>
        <v/>
      </c>
      <c r="X40">
        <f>HYPERLINK("https://klasma.github.io/Logging_0604/kartor/A 26784-2022 karta.png", "A 26784-2022")</f>
        <v/>
      </c>
      <c r="Y40">
        <f>HYPERLINK("https://klasma.github.io/Logging_0604/kartor_geotiff/A 26784-2022 georefererad karta.tif", "A 26784-2022")</f>
        <v/>
      </c>
      <c r="AA40">
        <f>HYPERLINK("https://klasma.github.io/Logging_0604/klagomål/A 26784-2022 FSC-klagomål.docx", "A 26784-2022")</f>
        <v/>
      </c>
      <c r="AB40">
        <f>HYPERLINK("https://klasma.github.io/Logging_0604/klagomålsmail/A 26784-2022 FSC-klagomål mail.docx", "A 26784-2022")</f>
        <v/>
      </c>
      <c r="AC40">
        <f>HYPERLINK("https://klasma.github.io/Logging_0604/tillsyn/A 26784-2022 tillsynsbegäran.docx", "A 26784-2022")</f>
        <v/>
      </c>
      <c r="AD40">
        <f>HYPERLINK("https://klasma.github.io/Logging_0604/tillsynsmail/A 26784-2022 tillsynsbegäran mail.docx", "A 26784-2022")</f>
        <v/>
      </c>
    </row>
    <row r="41" ht="15" customHeight="1">
      <c r="A41" t="inlineStr">
        <is>
          <t>A 25891-2026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46176</v>
      </c>
      <c r="E41" s="1" t="n">
        <v>46317</v>
      </c>
      <c r="F41" t="inlineStr">
        <is>
          <t>JÖNKÖPINGS LÄN</t>
        </is>
      </c>
      <c r="G41" t="inlineStr">
        <is>
          <t>ANEBY</t>
        </is>
      </c>
      <c r="I41" t="n">
        <v>5.6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Stor ängsmaskros</t>
        </is>
      </c>
      <c r="W41">
        <f>HYPERLINK("https://klasma.github.io/Logging_0604/artfynd/A 25891-2026 artfynd.xlsx", "A 25891-2026")</f>
        <v/>
      </c>
      <c r="X41">
        <f>HYPERLINK("https://klasma.github.io/Logging_0604/kartor/A 25891-2026 karta.png", "A 25891-2026")</f>
        <v/>
      </c>
      <c r="Y41">
        <f>HYPERLINK("https://klasma.github.io/Logging_0604/kartor_geotiff/A 25891-2026 georefererad karta.tif", "A 25891-2026")</f>
        <v/>
      </c>
      <c r="AA41">
        <f>HYPERLINK("https://klasma.github.io/Logging_0604/klagomål/A 25891-2026 FSC-klagomål.docx", "A 25891-2026")</f>
        <v/>
      </c>
      <c r="AB41">
        <f>HYPERLINK("https://klasma.github.io/Logging_0604/klagomålsmail/A 25891-2026 FSC-klagomål mail.docx", "A 25891-2026")</f>
        <v/>
      </c>
      <c r="AC41">
        <f>HYPERLINK("https://klasma.github.io/Logging_0604/tillsyn/A 25891-2026 tillsynsbegäran.docx", "A 25891-2026")</f>
        <v/>
      </c>
      <c r="AD41">
        <f>HYPERLINK("https://klasma.github.io/Logging_0604/tillsynsmail/A 25891-2026 tillsynsbegäran mail.docx", "A 25891-2026")</f>
        <v/>
      </c>
    </row>
    <row r="42" ht="15" customHeight="1">
      <c r="A42" t="inlineStr">
        <is>
          <t>A 24820-2026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46174</v>
      </c>
      <c r="E42" s="1" t="n">
        <v>46317</v>
      </c>
      <c r="F42" t="inlineStr">
        <is>
          <t>JÖNKÖPINGS LÄN</t>
        </is>
      </c>
      <c r="G42" t="inlineStr">
        <is>
          <t>ANEBY</t>
        </is>
      </c>
      <c r="H42" t="inlineStr">
        <is>
          <t>Sveaskog</t>
        </is>
      </c>
      <c r="I42" t="n">
        <v>3.2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0</v>
      </c>
      <c r="V42" s="2" t="inlineStr">
        <is>
          <t>Grönvit nattviol</t>
        </is>
      </c>
      <c r="W42">
        <f>HYPERLINK("https://klasma.github.io/Logging_0604/artfynd/A 24820-2026 artfynd.xlsx", "A 24820-2026")</f>
        <v/>
      </c>
      <c r="X42">
        <f>HYPERLINK("https://klasma.github.io/Logging_0604/kartor/A 24820-2026 karta.png", "A 24820-2026")</f>
        <v/>
      </c>
      <c r="Y42">
        <f>HYPERLINK("https://klasma.github.io/Logging_0604/kartor_geotiff/A 24820-2026 georefererad karta.tif", "A 24820-2026")</f>
        <v/>
      </c>
      <c r="AA42">
        <f>HYPERLINK("https://klasma.github.io/Logging_0604/klagomål/A 24820-2026 FSC-klagomål.docx", "A 24820-2026")</f>
        <v/>
      </c>
      <c r="AB42">
        <f>HYPERLINK("https://klasma.github.io/Logging_0604/klagomålsmail/A 24820-2026 FSC-klagomål mail.docx", "A 24820-2026")</f>
        <v/>
      </c>
      <c r="AC42">
        <f>HYPERLINK("https://klasma.github.io/Logging_0604/tillsyn/A 24820-2026 tillsynsbegäran.docx", "A 24820-2026")</f>
        <v/>
      </c>
      <c r="AD42">
        <f>HYPERLINK("https://klasma.github.io/Logging_0604/tillsynsmail/A 24820-2026 tillsynsbegäran mail.docx", "A 24820-2026")</f>
        <v/>
      </c>
    </row>
    <row r="43" ht="15" customHeight="1">
      <c r="A43" t="inlineStr">
        <is>
          <t>A 10010-2023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44985</v>
      </c>
      <c r="E43" s="1" t="n">
        <v>46317</v>
      </c>
      <c r="F43" t="inlineStr">
        <is>
          <t>JÖNKÖPINGS LÄN</t>
        </is>
      </c>
      <c r="G43" t="inlineStr">
        <is>
          <t>ANEBY</t>
        </is>
      </c>
      <c r="I43" t="n">
        <v>2.1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s="2" t="inlineStr">
        <is>
          <t>Ask</t>
        </is>
      </c>
      <c r="W43">
        <f>HYPERLINK("https://klasma.github.io/Logging_0604/artfynd/A 10010-2023 artfynd.xlsx", "A 10010-2023")</f>
        <v/>
      </c>
      <c r="X43">
        <f>HYPERLINK("https://klasma.github.io/Logging_0604/kartor/A 10010-2023 karta.png", "A 10010-2023")</f>
        <v/>
      </c>
      <c r="Y43">
        <f>HYPERLINK("https://klasma.github.io/Logging_0604/kartor_geotiff/A 10010-2023 georefererad karta.tif", "A 10010-2023")</f>
        <v/>
      </c>
      <c r="AA43">
        <f>HYPERLINK("https://klasma.github.io/Logging_0604/klagomål/A 10010-2023 FSC-klagomål.docx", "A 10010-2023")</f>
        <v/>
      </c>
      <c r="AB43">
        <f>HYPERLINK("https://klasma.github.io/Logging_0604/klagomålsmail/A 10010-2023 FSC-klagomål mail.docx", "A 10010-2023")</f>
        <v/>
      </c>
      <c r="AC43">
        <f>HYPERLINK("https://klasma.github.io/Logging_0604/tillsyn/A 10010-2023 tillsynsbegäran.docx", "A 10010-2023")</f>
        <v/>
      </c>
      <c r="AD43">
        <f>HYPERLINK("https://klasma.github.io/Logging_0604/tillsynsmail/A 10010-2023 tillsynsbegäran mail.docx", "A 10010-2023")</f>
        <v/>
      </c>
    </row>
    <row r="44" ht="15" customHeight="1">
      <c r="A44" t="inlineStr">
        <is>
          <t>A 8117-2025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45707</v>
      </c>
      <c r="E44" s="1" t="n">
        <v>46317</v>
      </c>
      <c r="F44" t="inlineStr">
        <is>
          <t>JÖNKÖPINGS LÄN</t>
        </is>
      </c>
      <c r="G44" t="inlineStr">
        <is>
          <t>ANEBY</t>
        </is>
      </c>
      <c r="I44" t="n">
        <v>2.3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Enkelbeckasin</t>
        </is>
      </c>
      <c r="W44">
        <f>HYPERLINK("https://klasma.github.io/Logging_0604/artfynd/A 8117-2025 artfynd.xlsx", "A 8117-2025")</f>
        <v/>
      </c>
      <c r="X44">
        <f>HYPERLINK("https://klasma.github.io/Logging_0604/kartor/A 8117-2025 karta.png", "A 8117-2025")</f>
        <v/>
      </c>
      <c r="Y44">
        <f>HYPERLINK("https://klasma.github.io/Logging_0604/kartor_geotiff/A 8117-2025 georefererad karta.tif", "A 8117-2025")</f>
        <v/>
      </c>
      <c r="AA44">
        <f>HYPERLINK("https://klasma.github.io/Logging_0604/klagomål/A 8117-2025 FSC-klagomål.docx", "A 8117-2025")</f>
        <v/>
      </c>
      <c r="AB44">
        <f>HYPERLINK("https://klasma.github.io/Logging_0604/klagomålsmail/A 8117-2025 FSC-klagomål mail.docx", "A 8117-2025")</f>
        <v/>
      </c>
      <c r="AC44">
        <f>HYPERLINK("https://klasma.github.io/Logging_0604/tillsyn/A 8117-2025 tillsynsbegäran.docx", "A 8117-2025")</f>
        <v/>
      </c>
      <c r="AD44">
        <f>HYPERLINK("https://klasma.github.io/Logging_0604/tillsynsmail/A 8117-2025 tillsynsbegäran mail.docx", "A 8117-2025")</f>
        <v/>
      </c>
      <c r="AE44">
        <f>HYPERLINK("https://klasma.github.io/Logging_0604/fåglar/A 8117-2025 prioriterade fågelarter.docx", "A 8117-2025")</f>
        <v/>
      </c>
    </row>
    <row r="45" ht="15" customHeight="1">
      <c r="A45" t="inlineStr">
        <is>
          <t>A 25875-2024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45467</v>
      </c>
      <c r="E45" s="1" t="n">
        <v>46317</v>
      </c>
      <c r="F45" t="inlineStr">
        <is>
          <t>JÖNKÖPINGS LÄN</t>
        </is>
      </c>
      <c r="G45" t="inlineStr">
        <is>
          <t>ANEBY</t>
        </is>
      </c>
      <c r="I45" t="n">
        <v>1.4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Kungsfågel</t>
        </is>
      </c>
      <c r="W45">
        <f>HYPERLINK("https://klasma.github.io/Logging_0604/artfynd/A 25875-2024 artfynd.xlsx", "A 25875-2024")</f>
        <v/>
      </c>
      <c r="X45">
        <f>HYPERLINK("https://klasma.github.io/Logging_0604/kartor/A 25875-2024 karta.png", "A 25875-2024")</f>
        <v/>
      </c>
      <c r="Y45">
        <f>HYPERLINK("https://klasma.github.io/Logging_0604/kartor_geotiff/A 25875-2024 georefererad karta.tif", "A 25875-2024")</f>
        <v/>
      </c>
      <c r="AA45">
        <f>HYPERLINK("https://klasma.github.io/Logging_0604/klagomål/A 25875-2024 FSC-klagomål.docx", "A 25875-2024")</f>
        <v/>
      </c>
      <c r="AB45">
        <f>HYPERLINK("https://klasma.github.io/Logging_0604/klagomålsmail/A 25875-2024 FSC-klagomål mail.docx", "A 25875-2024")</f>
        <v/>
      </c>
      <c r="AC45">
        <f>HYPERLINK("https://klasma.github.io/Logging_0604/tillsyn/A 25875-2024 tillsynsbegäran.docx", "A 25875-2024")</f>
        <v/>
      </c>
      <c r="AD45">
        <f>HYPERLINK("https://klasma.github.io/Logging_0604/tillsynsmail/A 25875-2024 tillsynsbegäran mail.docx", "A 25875-2024")</f>
        <v/>
      </c>
    </row>
    <row r="46" ht="15" customHeight="1">
      <c r="A46" t="inlineStr">
        <is>
          <t>A 36378-2026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46268</v>
      </c>
      <c r="E46" s="1" t="n">
        <v>46317</v>
      </c>
      <c r="F46" t="inlineStr">
        <is>
          <t>JÖNKÖPINGS LÄN</t>
        </is>
      </c>
      <c r="G46" t="inlineStr">
        <is>
          <t>ANEBY</t>
        </is>
      </c>
      <c r="I46" t="n">
        <v>2.3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Talltita</t>
        </is>
      </c>
      <c r="W46">
        <f>HYPERLINK("https://klasma.github.io/Logging_0604/artfynd/A 36378-2026 artfynd.xlsx", "A 36378-2026")</f>
        <v/>
      </c>
      <c r="X46">
        <f>HYPERLINK("https://klasma.github.io/Logging_0604/kartor/A 36378-2026 karta.png", "A 36378-2026")</f>
        <v/>
      </c>
      <c r="Y46">
        <f>HYPERLINK("https://klasma.github.io/Logging_0604/kartor_geotiff/A 36378-2026 georefererad karta.tif", "A 36378-2026")</f>
        <v/>
      </c>
      <c r="AA46">
        <f>HYPERLINK("https://klasma.github.io/Logging_0604/klagomål/A 36378-2026 FSC-klagomål.docx", "A 36378-2026")</f>
        <v/>
      </c>
      <c r="AB46">
        <f>HYPERLINK("https://klasma.github.io/Logging_0604/klagomålsmail/A 36378-2026 FSC-klagomål mail.docx", "A 36378-2026")</f>
        <v/>
      </c>
      <c r="AC46">
        <f>HYPERLINK("https://klasma.github.io/Logging_0604/tillsyn/A 36378-2026 tillsynsbegäran.docx", "A 36378-2026")</f>
        <v/>
      </c>
      <c r="AD46">
        <f>HYPERLINK("https://klasma.github.io/Logging_0604/tillsynsmail/A 36378-2026 tillsynsbegäran mail.docx", "A 36378-2026")</f>
        <v/>
      </c>
      <c r="AE46">
        <f>HYPERLINK("https://klasma.github.io/Logging_0604/fåglar/A 36378-2026 prioriterade fågelarter.docx", "A 36378-2026")</f>
        <v/>
      </c>
    </row>
    <row r="47" ht="15" customHeight="1">
      <c r="A47" t="inlineStr">
        <is>
          <t>A 70353-2021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44533</v>
      </c>
      <c r="E47" s="1" t="n">
        <v>46317</v>
      </c>
      <c r="F47" t="inlineStr">
        <is>
          <t>JÖNKÖPINGS LÄN</t>
        </is>
      </c>
      <c r="G47" t="inlineStr">
        <is>
          <t>ANEBY</t>
        </is>
      </c>
      <c r="I47" t="n">
        <v>1.1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69843-2021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44532</v>
      </c>
      <c r="E48" s="1" t="n">
        <v>46317</v>
      </c>
      <c r="F48" t="inlineStr">
        <is>
          <t>JÖNKÖPINGS LÄN</t>
        </is>
      </c>
      <c r="G48" t="inlineStr">
        <is>
          <t>ANEBY</t>
        </is>
      </c>
      <c r="I48" t="n">
        <v>0.4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26771-2022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44739</v>
      </c>
      <c r="E49" s="1" t="n">
        <v>46317</v>
      </c>
      <c r="F49" t="inlineStr">
        <is>
          <t>JÖNKÖPINGS LÄN</t>
        </is>
      </c>
      <c r="G49" t="inlineStr">
        <is>
          <t>ANEBY</t>
        </is>
      </c>
      <c r="I49" t="n">
        <v>2.8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73572-2021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44550</v>
      </c>
      <c r="E50" s="1" t="n">
        <v>46317</v>
      </c>
      <c r="F50" t="inlineStr">
        <is>
          <t>JÖNKÖPINGS LÄN</t>
        </is>
      </c>
      <c r="G50" t="inlineStr">
        <is>
          <t>ANEBY</t>
        </is>
      </c>
      <c r="H50" t="inlineStr">
        <is>
          <t>Övriga Aktiebolag</t>
        </is>
      </c>
      <c r="I50" t="n">
        <v>0.7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55738-2022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44888</v>
      </c>
      <c r="E51" s="1" t="n">
        <v>46317</v>
      </c>
      <c r="F51" t="inlineStr">
        <is>
          <t>JÖNKÖPINGS LÄN</t>
        </is>
      </c>
      <c r="G51" t="inlineStr">
        <is>
          <t>ANEBY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28445-2022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44747</v>
      </c>
      <c r="E52" s="1" t="n">
        <v>46317</v>
      </c>
      <c r="F52" t="inlineStr">
        <is>
          <t>JÖNKÖPINGS LÄN</t>
        </is>
      </c>
      <c r="G52" t="inlineStr">
        <is>
          <t>ANEBY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27995-2022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44743</v>
      </c>
      <c r="E53" s="1" t="n">
        <v>46317</v>
      </c>
      <c r="F53" t="inlineStr">
        <is>
          <t>JÖNKÖPINGS LÄN</t>
        </is>
      </c>
      <c r="G53" t="inlineStr">
        <is>
          <t>ANEBY</t>
        </is>
      </c>
      <c r="I53" t="n">
        <v>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71143-2021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44539</v>
      </c>
      <c r="E54" s="1" t="n">
        <v>46317</v>
      </c>
      <c r="F54" t="inlineStr">
        <is>
          <t>JÖNKÖPINGS LÄN</t>
        </is>
      </c>
      <c r="G54" t="inlineStr">
        <is>
          <t>ANEBY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48312-2022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44853</v>
      </c>
      <c r="E55" s="1" t="n">
        <v>46317</v>
      </c>
      <c r="F55" t="inlineStr">
        <is>
          <t>JÖNKÖPINGS LÄN</t>
        </is>
      </c>
      <c r="G55" t="inlineStr">
        <is>
          <t>ANEBY</t>
        </is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3523-2022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44585</v>
      </c>
      <c r="E56" s="1" t="n">
        <v>46317</v>
      </c>
      <c r="F56" t="inlineStr">
        <is>
          <t>JÖNKÖPINGS LÄN</t>
        </is>
      </c>
      <c r="G56" t="inlineStr">
        <is>
          <t>ANEBY</t>
        </is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48311-2022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44853</v>
      </c>
      <c r="E57" s="1" t="n">
        <v>46317</v>
      </c>
      <c r="F57" t="inlineStr">
        <is>
          <t>JÖNKÖPINGS LÄN</t>
        </is>
      </c>
      <c r="G57" t="inlineStr">
        <is>
          <t>ANEBY</t>
        </is>
      </c>
      <c r="I57" t="n">
        <v>2.7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10683-2022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44624</v>
      </c>
      <c r="E58" s="1" t="n">
        <v>46317</v>
      </c>
      <c r="F58" t="inlineStr">
        <is>
          <t>JÖNKÖPINGS LÄN</t>
        </is>
      </c>
      <c r="G58" t="inlineStr">
        <is>
          <t>ANEBY</t>
        </is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10022-2022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44621</v>
      </c>
      <c r="E59" s="1" t="n">
        <v>46317</v>
      </c>
      <c r="F59" t="inlineStr">
        <is>
          <t>JÖNKÖPINGS LÄN</t>
        </is>
      </c>
      <c r="G59" t="inlineStr">
        <is>
          <t>ANEBY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41298-2022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44826</v>
      </c>
      <c r="E60" s="1" t="n">
        <v>46317</v>
      </c>
      <c r="F60" t="inlineStr">
        <is>
          <t>JÖNKÖPINGS LÄN</t>
        </is>
      </c>
      <c r="G60" t="inlineStr">
        <is>
          <t>ANEBY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10682-2022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44624</v>
      </c>
      <c r="E61" s="1" t="n">
        <v>46317</v>
      </c>
      <c r="F61" t="inlineStr">
        <is>
          <t>JÖNKÖPINGS LÄN</t>
        </is>
      </c>
      <c r="G61" t="inlineStr">
        <is>
          <t>ANEBY</t>
        </is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26763-2022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44739</v>
      </c>
      <c r="E62" s="1" t="n">
        <v>46317</v>
      </c>
      <c r="F62" t="inlineStr">
        <is>
          <t>JÖNKÖPINGS LÄN</t>
        </is>
      </c>
      <c r="G62" t="inlineStr">
        <is>
          <t>ANEBY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26766-2022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44739</v>
      </c>
      <c r="E63" s="1" t="n">
        <v>46317</v>
      </c>
      <c r="F63" t="inlineStr">
        <is>
          <t>JÖNKÖPINGS LÄN</t>
        </is>
      </c>
      <c r="G63" t="inlineStr">
        <is>
          <t>ANEBY</t>
        </is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26768-2022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44739</v>
      </c>
      <c r="E64" s="1" t="n">
        <v>46317</v>
      </c>
      <c r="F64" t="inlineStr">
        <is>
          <t>JÖNKÖPINGS LÄN</t>
        </is>
      </c>
      <c r="G64" t="inlineStr">
        <is>
          <t>ANEBY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41311-2022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44826</v>
      </c>
      <c r="E65" s="1" t="n">
        <v>46317</v>
      </c>
      <c r="F65" t="inlineStr">
        <is>
          <t>JÖNKÖPINGS LÄN</t>
        </is>
      </c>
      <c r="G65" t="inlineStr">
        <is>
          <t>ANEBY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7451-2022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44606</v>
      </c>
      <c r="E66" s="1" t="n">
        <v>46317</v>
      </c>
      <c r="F66" t="inlineStr">
        <is>
          <t>JÖNKÖPINGS LÄN</t>
        </is>
      </c>
      <c r="G66" t="inlineStr">
        <is>
          <t>ANEBY</t>
        </is>
      </c>
      <c r="I66" t="n">
        <v>0.6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7461-2022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44606</v>
      </c>
      <c r="E67" s="1" t="n">
        <v>46317</v>
      </c>
      <c r="F67" t="inlineStr">
        <is>
          <t>JÖNKÖPINGS LÄN</t>
        </is>
      </c>
      <c r="G67" t="inlineStr">
        <is>
          <t>ANEBY</t>
        </is>
      </c>
      <c r="I67" t="n">
        <v>0.7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55707-2022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44888</v>
      </c>
      <c r="E68" s="1" t="n">
        <v>46317</v>
      </c>
      <c r="F68" t="inlineStr">
        <is>
          <t>JÖNKÖPINGS LÄN</t>
        </is>
      </c>
      <c r="G68" t="inlineStr">
        <is>
          <t>ANEBY</t>
        </is>
      </c>
      <c r="I68" t="n">
        <v>0.6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55158-2022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44886</v>
      </c>
      <c r="E69" s="1" t="n">
        <v>46317</v>
      </c>
      <c r="F69" t="inlineStr">
        <is>
          <t>JÖNKÖPINGS LÄN</t>
        </is>
      </c>
      <c r="G69" t="inlineStr">
        <is>
          <t>ANEBY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406-2022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44565</v>
      </c>
      <c r="E70" s="1" t="n">
        <v>46317</v>
      </c>
      <c r="F70" t="inlineStr">
        <is>
          <t>JÖNKÖPINGS LÄN</t>
        </is>
      </c>
      <c r="G70" t="inlineStr">
        <is>
          <t>ANEBY</t>
        </is>
      </c>
      <c r="I70" t="n">
        <v>0.8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7358-2022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44606</v>
      </c>
      <c r="E71" s="1" t="n">
        <v>46317</v>
      </c>
      <c r="F71" t="inlineStr">
        <is>
          <t>JÖNKÖPINGS LÄN</t>
        </is>
      </c>
      <c r="G71" t="inlineStr">
        <is>
          <t>ANEBY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62354-2021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44503</v>
      </c>
      <c r="E72" s="1" t="n">
        <v>46317</v>
      </c>
      <c r="F72" t="inlineStr">
        <is>
          <t>JÖNKÖPINGS LÄN</t>
        </is>
      </c>
      <c r="G72" t="inlineStr">
        <is>
          <t>ANEBY</t>
        </is>
      </c>
      <c r="I72" t="n">
        <v>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16957-2023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45033</v>
      </c>
      <c r="E73" s="1" t="n">
        <v>46317</v>
      </c>
      <c r="F73" t="inlineStr">
        <is>
          <t>JÖNKÖPINGS LÄN</t>
        </is>
      </c>
      <c r="G73" t="inlineStr">
        <is>
          <t>ANEBY</t>
        </is>
      </c>
      <c r="I73" t="n">
        <v>1.7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19943-2025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45771</v>
      </c>
      <c r="E74" s="1" t="n">
        <v>46317</v>
      </c>
      <c r="F74" t="inlineStr">
        <is>
          <t>JÖNKÖPINGS LÄN</t>
        </is>
      </c>
      <c r="G74" t="inlineStr">
        <is>
          <t>ANEBY</t>
        </is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45806-2023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45189</v>
      </c>
      <c r="E75" s="1" t="n">
        <v>46317</v>
      </c>
      <c r="F75" t="inlineStr">
        <is>
          <t>JÖNKÖPINGS LÄN</t>
        </is>
      </c>
      <c r="G75" t="inlineStr">
        <is>
          <t>ANEBY</t>
        </is>
      </c>
      <c r="I75" t="n">
        <v>1.5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16095-2025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45749</v>
      </c>
      <c r="E76" s="1" t="n">
        <v>46317</v>
      </c>
      <c r="F76" t="inlineStr">
        <is>
          <t>JÖNKÖPINGS LÄN</t>
        </is>
      </c>
      <c r="G76" t="inlineStr">
        <is>
          <t>ANEBY</t>
        </is>
      </c>
      <c r="I76" t="n">
        <v>4.2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31938-2023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45107</v>
      </c>
      <c r="E77" s="1" t="n">
        <v>46317</v>
      </c>
      <c r="F77" t="inlineStr">
        <is>
          <t>JÖNKÖPINGS LÄN</t>
        </is>
      </c>
      <c r="G77" t="inlineStr">
        <is>
          <t>ANEBY</t>
        </is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49427-2023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45205</v>
      </c>
      <c r="E78" s="1" t="n">
        <v>46317</v>
      </c>
      <c r="F78" t="inlineStr">
        <is>
          <t>JÖNKÖPINGS LÄN</t>
        </is>
      </c>
      <c r="G78" t="inlineStr">
        <is>
          <t>ANEBY</t>
        </is>
      </c>
      <c r="H78" t="inlineStr">
        <is>
          <t>Övriga Aktiebolag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26498-2023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45092</v>
      </c>
      <c r="E79" s="1" t="n">
        <v>46317</v>
      </c>
      <c r="F79" t="inlineStr">
        <is>
          <t>JÖNKÖPINGS LÄN</t>
        </is>
      </c>
      <c r="G79" t="inlineStr">
        <is>
          <t>ANEBY</t>
        </is>
      </c>
      <c r="I79" t="n">
        <v>1.8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17973-2024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45419</v>
      </c>
      <c r="E80" s="1" t="n">
        <v>46317</v>
      </c>
      <c r="F80" t="inlineStr">
        <is>
          <t>JÖNKÖPINGS LÄN</t>
        </is>
      </c>
      <c r="G80" t="inlineStr">
        <is>
          <t>ANEBY</t>
        </is>
      </c>
      <c r="H80" t="inlineStr">
        <is>
          <t>Övriga Aktiebolag</t>
        </is>
      </c>
      <c r="I80" t="n">
        <v>1.3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24784-2024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45460</v>
      </c>
      <c r="E81" s="1" t="n">
        <v>46317</v>
      </c>
      <c r="F81" t="inlineStr">
        <is>
          <t>JÖNKÖPINGS LÄN</t>
        </is>
      </c>
      <c r="G81" t="inlineStr">
        <is>
          <t>ANEBY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58354-2023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45250</v>
      </c>
      <c r="E82" s="1" t="n">
        <v>46317</v>
      </c>
      <c r="F82" t="inlineStr">
        <is>
          <t>JÖNKÖPINGS LÄN</t>
        </is>
      </c>
      <c r="G82" t="inlineStr">
        <is>
          <t>ANEBY</t>
        </is>
      </c>
      <c r="I82" t="n">
        <v>2.2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14329-2024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45393</v>
      </c>
      <c r="E83" s="1" t="n">
        <v>46317</v>
      </c>
      <c r="F83" t="inlineStr">
        <is>
          <t>JÖNKÖPINGS LÄN</t>
        </is>
      </c>
      <c r="G83" t="inlineStr">
        <is>
          <t>ANEBY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14338-2024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45393</v>
      </c>
      <c r="E84" s="1" t="n">
        <v>46317</v>
      </c>
      <c r="F84" t="inlineStr">
        <is>
          <t>JÖNKÖPINGS LÄN</t>
        </is>
      </c>
      <c r="G84" t="inlineStr">
        <is>
          <t>ANEBY</t>
        </is>
      </c>
      <c r="I84" t="n">
        <v>1.9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62095-2025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46006</v>
      </c>
      <c r="E85" s="1" t="n">
        <v>46317</v>
      </c>
      <c r="F85" t="inlineStr">
        <is>
          <t>JÖNKÖPINGS LÄN</t>
        </is>
      </c>
      <c r="G85" t="inlineStr">
        <is>
          <t>ANEBY</t>
        </is>
      </c>
      <c r="I85" t="n">
        <v>2.3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48999-2024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45594</v>
      </c>
      <c r="E86" s="1" t="n">
        <v>46317</v>
      </c>
      <c r="F86" t="inlineStr">
        <is>
          <t>JÖNKÖPINGS LÄN</t>
        </is>
      </c>
      <c r="G86" t="inlineStr">
        <is>
          <t>ANEBY</t>
        </is>
      </c>
      <c r="I86" t="n">
        <v>1.4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24901-2024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45461</v>
      </c>
      <c r="E87" s="1" t="n">
        <v>46317</v>
      </c>
      <c r="F87" t="inlineStr">
        <is>
          <t>JÖNKÖPINGS LÄN</t>
        </is>
      </c>
      <c r="G87" t="inlineStr">
        <is>
          <t>ANEBY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47118-2023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45201</v>
      </c>
      <c r="E88" s="1" t="n">
        <v>46317</v>
      </c>
      <c r="F88" t="inlineStr">
        <is>
          <t>JÖNKÖPINGS LÄN</t>
        </is>
      </c>
      <c r="G88" t="inlineStr">
        <is>
          <t>ANEBY</t>
        </is>
      </c>
      <c r="I88" t="n">
        <v>2.9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49133-2022</t>
        </is>
      </c>
      <c r="B89" t="inlineStr">
        <is>
          <t>avverkningsanmälan</t>
        </is>
      </c>
      <c r="C89" t="inlineStr">
        <is>
          <t>Avverkning för annat ändamål</t>
        </is>
      </c>
      <c r="D89" s="1" t="n">
        <v>44860</v>
      </c>
      <c r="E89" s="1" t="n">
        <v>46317</v>
      </c>
      <c r="F89" t="inlineStr">
        <is>
          <t>JÖNKÖPINGS LÄN</t>
        </is>
      </c>
      <c r="G89" t="inlineStr">
        <is>
          <t>ANEBY</t>
        </is>
      </c>
      <c r="I89" t="n">
        <v>0.9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14901-2024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45398</v>
      </c>
      <c r="E90" s="1" t="n">
        <v>46317</v>
      </c>
      <c r="F90" t="inlineStr">
        <is>
          <t>JÖNKÖPINGS LÄN</t>
        </is>
      </c>
      <c r="G90" t="inlineStr">
        <is>
          <t>ANEBY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23966-2025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45796</v>
      </c>
      <c r="E91" s="1" t="n">
        <v>46317</v>
      </c>
      <c r="F91" t="inlineStr">
        <is>
          <t>JÖNKÖPINGS LÄN</t>
        </is>
      </c>
      <c r="G91" t="inlineStr">
        <is>
          <t>ANEBY</t>
        </is>
      </c>
      <c r="I91" t="n">
        <v>0.6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49484-2023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45205</v>
      </c>
      <c r="E92" s="1" t="n">
        <v>46317</v>
      </c>
      <c r="F92" t="inlineStr">
        <is>
          <t>JÖNKÖPINGS LÄN</t>
        </is>
      </c>
      <c r="G92" t="inlineStr">
        <is>
          <t>ANEBY</t>
        </is>
      </c>
      <c r="H92" t="inlineStr">
        <is>
          <t>Övriga Aktiebolag</t>
        </is>
      </c>
      <c r="I92" t="n">
        <v>3.8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4833-2023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44957</v>
      </c>
      <c r="E93" s="1" t="n">
        <v>46317</v>
      </c>
      <c r="F93" t="inlineStr">
        <is>
          <t>JÖNKÖPINGS LÄN</t>
        </is>
      </c>
      <c r="G93" t="inlineStr">
        <is>
          <t>ANEBY</t>
        </is>
      </c>
      <c r="I93" t="n">
        <v>1.7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47125-2022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44852</v>
      </c>
      <c r="E94" s="1" t="n">
        <v>46317</v>
      </c>
      <c r="F94" t="inlineStr">
        <is>
          <t>JÖNKÖPINGS LÄN</t>
        </is>
      </c>
      <c r="G94" t="inlineStr">
        <is>
          <t>ANEBY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33125-2025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45840</v>
      </c>
      <c r="E95" s="1" t="n">
        <v>46317</v>
      </c>
      <c r="F95" t="inlineStr">
        <is>
          <t>JÖNKÖPINGS LÄN</t>
        </is>
      </c>
      <c r="G95" t="inlineStr">
        <is>
          <t>ANEBY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52267-2024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45608</v>
      </c>
      <c r="E96" s="1" t="n">
        <v>46317</v>
      </c>
      <c r="F96" t="inlineStr">
        <is>
          <t>JÖNKÖPINGS LÄN</t>
        </is>
      </c>
      <c r="G96" t="inlineStr">
        <is>
          <t>ANEBY</t>
        </is>
      </c>
      <c r="I96" t="n">
        <v>1.2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39427-2025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45889</v>
      </c>
      <c r="E97" s="1" t="n">
        <v>46317</v>
      </c>
      <c r="F97" t="inlineStr">
        <is>
          <t>JÖNKÖPINGS LÄN</t>
        </is>
      </c>
      <c r="G97" t="inlineStr">
        <is>
          <t>ANEBY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63901-2025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46020</v>
      </c>
      <c r="E98" s="1" t="n">
        <v>46317</v>
      </c>
      <c r="F98" t="inlineStr">
        <is>
          <t>JÖNKÖPINGS LÄN</t>
        </is>
      </c>
      <c r="G98" t="inlineStr">
        <is>
          <t>ANEBY</t>
        </is>
      </c>
      <c r="I98" t="n">
        <v>1.4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23607-2024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45454</v>
      </c>
      <c r="E99" s="1" t="n">
        <v>46317</v>
      </c>
      <c r="F99" t="inlineStr">
        <is>
          <t>JÖNKÖPINGS LÄN</t>
        </is>
      </c>
      <c r="G99" t="inlineStr">
        <is>
          <t>ANEBY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39441-2025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45889</v>
      </c>
      <c r="E100" s="1" t="n">
        <v>46317</v>
      </c>
      <c r="F100" t="inlineStr">
        <is>
          <t>JÖNKÖPINGS LÄN</t>
        </is>
      </c>
      <c r="G100" t="inlineStr">
        <is>
          <t>ANEBY</t>
        </is>
      </c>
      <c r="I100" t="n">
        <v>10.1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8772-2024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45356</v>
      </c>
      <c r="E101" s="1" t="n">
        <v>46317</v>
      </c>
      <c r="F101" t="inlineStr">
        <is>
          <t>JÖNKÖPINGS LÄN</t>
        </is>
      </c>
      <c r="G101" t="inlineStr">
        <is>
          <t>ANEBY</t>
        </is>
      </c>
      <c r="I101" t="n">
        <v>0.7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63991-2025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46021</v>
      </c>
      <c r="E102" s="1" t="n">
        <v>46317</v>
      </c>
      <c r="F102" t="inlineStr">
        <is>
          <t>JÖNKÖPINGS LÄN</t>
        </is>
      </c>
      <c r="G102" t="inlineStr">
        <is>
          <t>ANEBY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63992-2025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46021</v>
      </c>
      <c r="E103" s="1" t="n">
        <v>46317</v>
      </c>
      <c r="F103" t="inlineStr">
        <is>
          <t>JÖNKÖPINGS LÄN</t>
        </is>
      </c>
      <c r="G103" t="inlineStr">
        <is>
          <t>ANEBY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35555-2024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45531</v>
      </c>
      <c r="E104" s="1" t="n">
        <v>46317</v>
      </c>
      <c r="F104" t="inlineStr">
        <is>
          <t>JÖNKÖPINGS LÄN</t>
        </is>
      </c>
      <c r="G104" t="inlineStr">
        <is>
          <t>ANEBY</t>
        </is>
      </c>
      <c r="I104" t="n">
        <v>1.9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5222-2024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45330</v>
      </c>
      <c r="E105" s="1" t="n">
        <v>46317</v>
      </c>
      <c r="F105" t="inlineStr">
        <is>
          <t>JÖNKÖPINGS LÄN</t>
        </is>
      </c>
      <c r="G105" t="inlineStr">
        <is>
          <t>ANEBY</t>
        </is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42071-2025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45903</v>
      </c>
      <c r="E106" s="1" t="n">
        <v>46317</v>
      </c>
      <c r="F106" t="inlineStr">
        <is>
          <t>JÖNKÖPINGS LÄN</t>
        </is>
      </c>
      <c r="G106" t="inlineStr">
        <is>
          <t>ANEBY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56333-2022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44890</v>
      </c>
      <c r="E107" s="1" t="n">
        <v>46317</v>
      </c>
      <c r="F107" t="inlineStr">
        <is>
          <t>JÖNKÖPINGS LÄN</t>
        </is>
      </c>
      <c r="G107" t="inlineStr">
        <is>
          <t>ANEBY</t>
        </is>
      </c>
      <c r="I107" t="n">
        <v>2.1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56339-2022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44890</v>
      </c>
      <c r="E108" s="1" t="n">
        <v>46317</v>
      </c>
      <c r="F108" t="inlineStr">
        <is>
          <t>JÖNKÖPINGS LÄN</t>
        </is>
      </c>
      <c r="G108" t="inlineStr">
        <is>
          <t>ANEBY</t>
        </is>
      </c>
      <c r="I108" t="n">
        <v>1.5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42870-2025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45908</v>
      </c>
      <c r="E109" s="1" t="n">
        <v>46317</v>
      </c>
      <c r="F109" t="inlineStr">
        <is>
          <t>JÖNKÖPINGS LÄN</t>
        </is>
      </c>
      <c r="G109" t="inlineStr">
        <is>
          <t>ANEBY</t>
        </is>
      </c>
      <c r="I109" t="n">
        <v>1.5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43019-2025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45909</v>
      </c>
      <c r="E110" s="1" t="n">
        <v>46317</v>
      </c>
      <c r="F110" t="inlineStr">
        <is>
          <t>JÖNKÖPINGS LÄN</t>
        </is>
      </c>
      <c r="G110" t="inlineStr">
        <is>
          <t>ANEBY</t>
        </is>
      </c>
      <c r="I110" t="n">
        <v>1.4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27205-2025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45812</v>
      </c>
      <c r="E111" s="1" t="n">
        <v>46317</v>
      </c>
      <c r="F111" t="inlineStr">
        <is>
          <t>JÖNKÖPINGS LÄN</t>
        </is>
      </c>
      <c r="G111" t="inlineStr">
        <is>
          <t>ANEBY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63624-2023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45275</v>
      </c>
      <c r="E112" s="1" t="n">
        <v>46317</v>
      </c>
      <c r="F112" t="inlineStr">
        <is>
          <t>JÖNKÖPINGS LÄN</t>
        </is>
      </c>
      <c r="G112" t="inlineStr">
        <is>
          <t>ANEBY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25963-2024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45467</v>
      </c>
      <c r="E113" s="1" t="n">
        <v>46317</v>
      </c>
      <c r="F113" t="inlineStr">
        <is>
          <t>JÖNKÖPINGS LÄN</t>
        </is>
      </c>
      <c r="G113" t="inlineStr">
        <is>
          <t>ANEBY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  <c r="Z113">
        <f>HYPERLINK("https://klasma.github.io/Logging_0604/knärot/A 25963-2024 karta knärot.png", "A 25963-2024")</f>
        <v/>
      </c>
      <c r="AA113">
        <f>HYPERLINK("https://klasma.github.io/Logging_0604/klagomål/A 25963-2024 FSC-klagomål.docx", "A 25963-2024")</f>
        <v/>
      </c>
      <c r="AB113">
        <f>HYPERLINK("https://klasma.github.io/Logging_0604/klagomålsmail/A 25963-2024 FSC-klagomål mail.docx", "A 25963-2024")</f>
        <v/>
      </c>
      <c r="AC113">
        <f>HYPERLINK("https://klasma.github.io/Logging_0604/tillsyn/A 25963-2024 tillsynsbegäran.docx", "A 25963-2024")</f>
        <v/>
      </c>
      <c r="AD113">
        <f>HYPERLINK("https://klasma.github.io/Logging_0604/tillsynsmail/A 25963-2024 tillsynsbegäran mail.docx", "A 25963-2024")</f>
        <v/>
      </c>
    </row>
    <row r="114" ht="15" customHeight="1">
      <c r="A114" t="inlineStr">
        <is>
          <t>A 43008-2025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45909</v>
      </c>
      <c r="E114" s="1" t="n">
        <v>46317</v>
      </c>
      <c r="F114" t="inlineStr">
        <is>
          <t>JÖNKÖPINGS LÄN</t>
        </is>
      </c>
      <c r="G114" t="inlineStr">
        <is>
          <t>ANEBY</t>
        </is>
      </c>
      <c r="I114" t="n">
        <v>2.2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37343-2023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45156</v>
      </c>
      <c r="E115" s="1" t="n">
        <v>46317</v>
      </c>
      <c r="F115" t="inlineStr">
        <is>
          <t>JÖNKÖPINGS LÄN</t>
        </is>
      </c>
      <c r="G115" t="inlineStr">
        <is>
          <t>ANEBY</t>
        </is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43746-2025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45912</v>
      </c>
      <c r="E116" s="1" t="n">
        <v>46317</v>
      </c>
      <c r="F116" t="inlineStr">
        <is>
          <t>JÖNKÖPINGS LÄN</t>
        </is>
      </c>
      <c r="G116" t="inlineStr">
        <is>
          <t>ANEBY</t>
        </is>
      </c>
      <c r="I116" t="n">
        <v>6.9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43528-2025</t>
        </is>
      </c>
      <c r="B117" t="inlineStr">
        <is>
          <t>avverkningsanmälan</t>
        </is>
      </c>
      <c r="C117" t="inlineStr">
        <is>
          <t>Avverkning för annat ändamål</t>
        </is>
      </c>
      <c r="D117" s="1" t="n">
        <v>45911</v>
      </c>
      <c r="E117" s="1" t="n">
        <v>46317</v>
      </c>
      <c r="F117" t="inlineStr">
        <is>
          <t>JÖNKÖPINGS LÄN</t>
        </is>
      </c>
      <c r="G117" t="inlineStr">
        <is>
          <t>ANEBY</t>
        </is>
      </c>
      <c r="H117" t="inlineStr">
        <is>
          <t>Övriga Aktiebolag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28543-2025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45819</v>
      </c>
      <c r="E118" s="1" t="n">
        <v>46317</v>
      </c>
      <c r="F118" t="inlineStr">
        <is>
          <t>JÖNKÖPINGS LÄN</t>
        </is>
      </c>
      <c r="G118" t="inlineStr">
        <is>
          <t>ANEBY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73166-2021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44550</v>
      </c>
      <c r="E119" s="1" t="n">
        <v>46317</v>
      </c>
      <c r="F119" t="inlineStr">
        <is>
          <t>JÖNKÖPINGS LÄN</t>
        </is>
      </c>
      <c r="G119" t="inlineStr">
        <is>
          <t>ANEBY</t>
        </is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27714-2024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45475</v>
      </c>
      <c r="E120" s="1" t="n">
        <v>46317</v>
      </c>
      <c r="F120" t="inlineStr">
        <is>
          <t>JÖNKÖPINGS LÄN</t>
        </is>
      </c>
      <c r="G120" t="inlineStr">
        <is>
          <t>ANEBY</t>
        </is>
      </c>
      <c r="I120" t="n">
        <v>1.4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29469-2025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45824</v>
      </c>
      <c r="E121" s="1" t="n">
        <v>46317</v>
      </c>
      <c r="F121" t="inlineStr">
        <is>
          <t>JÖNKÖPINGS LÄN</t>
        </is>
      </c>
      <c r="G121" t="inlineStr">
        <is>
          <t>ANEBY</t>
        </is>
      </c>
      <c r="H121" t="inlineStr">
        <is>
          <t>Övriga Aktiebolag</t>
        </is>
      </c>
      <c r="I121" t="n">
        <v>16.8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46162-2025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45924</v>
      </c>
      <c r="E122" s="1" t="n">
        <v>46317</v>
      </c>
      <c r="F122" t="inlineStr">
        <is>
          <t>JÖNKÖPINGS LÄN</t>
        </is>
      </c>
      <c r="G122" t="inlineStr">
        <is>
          <t>ANEBY</t>
        </is>
      </c>
      <c r="I122" t="n">
        <v>2.2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868-2026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46030</v>
      </c>
      <c r="E123" s="1" t="n">
        <v>46317</v>
      </c>
      <c r="F123" t="inlineStr">
        <is>
          <t>JÖNKÖPINGS LÄN</t>
        </is>
      </c>
      <c r="G123" t="inlineStr">
        <is>
          <t>ANEBY</t>
        </is>
      </c>
      <c r="I123" t="n">
        <v>0.4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764-2025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45665</v>
      </c>
      <c r="E124" s="1" t="n">
        <v>46317</v>
      </c>
      <c r="F124" t="inlineStr">
        <is>
          <t>JÖNKÖPINGS LÄN</t>
        </is>
      </c>
      <c r="G124" t="inlineStr">
        <is>
          <t>ANEBY</t>
        </is>
      </c>
      <c r="H124" t="inlineStr">
        <is>
          <t>Sveaskog</t>
        </is>
      </c>
      <c r="I124" t="n">
        <v>1.7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49398-2022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44859</v>
      </c>
      <c r="E125" s="1" t="n">
        <v>46317</v>
      </c>
      <c r="F125" t="inlineStr">
        <is>
          <t>JÖNKÖPINGS LÄN</t>
        </is>
      </c>
      <c r="G125" t="inlineStr">
        <is>
          <t>ANEBY</t>
        </is>
      </c>
      <c r="H125" t="inlineStr">
        <is>
          <t>Övriga Aktiebolag</t>
        </is>
      </c>
      <c r="I125" t="n">
        <v>2.6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31087-2025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45831</v>
      </c>
      <c r="E126" s="1" t="n">
        <v>46317</v>
      </c>
      <c r="F126" t="inlineStr">
        <is>
          <t>JÖNKÖPINGS LÄN</t>
        </is>
      </c>
      <c r="G126" t="inlineStr">
        <is>
          <t>ANEBY</t>
        </is>
      </c>
      <c r="H126" t="inlineStr">
        <is>
          <t>Övriga Aktiebolag</t>
        </is>
      </c>
      <c r="I126" t="n">
        <v>6.4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12477-2023</t>
        </is>
      </c>
      <c r="B127" t="inlineStr">
        <is>
          <t>avverkningsanmälan</t>
        </is>
      </c>
      <c r="C127" t="inlineStr">
        <is>
          <t>Avverkning för annat ändamål</t>
        </is>
      </c>
      <c r="D127" s="1" t="n">
        <v>44999</v>
      </c>
      <c r="E127" s="1" t="n">
        <v>46317</v>
      </c>
      <c r="F127" t="inlineStr">
        <is>
          <t>JÖNKÖPINGS LÄN</t>
        </is>
      </c>
      <c r="G127" t="inlineStr">
        <is>
          <t>ANEBY</t>
        </is>
      </c>
      <c r="I127" t="n">
        <v>3.2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32554-2025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45838</v>
      </c>
      <c r="E128" s="1" t="n">
        <v>46317</v>
      </c>
      <c r="F128" t="inlineStr">
        <is>
          <t>JÖNKÖPINGS LÄN</t>
        </is>
      </c>
      <c r="G128" t="inlineStr">
        <is>
          <t>ANEBY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40563-2024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45555</v>
      </c>
      <c r="E129" s="1" t="n">
        <v>46317</v>
      </c>
      <c r="F129" t="inlineStr">
        <is>
          <t>JÖNKÖPINGS LÄN</t>
        </is>
      </c>
      <c r="G129" t="inlineStr">
        <is>
          <t>ANEBY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48728-2025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45936</v>
      </c>
      <c r="E130" s="1" t="n">
        <v>46317</v>
      </c>
      <c r="F130" t="inlineStr">
        <is>
          <t>JÖNKÖPINGS LÄN</t>
        </is>
      </c>
      <c r="G130" t="inlineStr">
        <is>
          <t>ANEBY</t>
        </is>
      </c>
      <c r="I130" t="n">
        <v>1.3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4913-2025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45688</v>
      </c>
      <c r="E131" s="1" t="n">
        <v>46317</v>
      </c>
      <c r="F131" t="inlineStr">
        <is>
          <t>JÖNKÖPINGS LÄN</t>
        </is>
      </c>
      <c r="G131" t="inlineStr">
        <is>
          <t>ANEBY</t>
        </is>
      </c>
      <c r="I131" t="n">
        <v>1.2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9193-2024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45358</v>
      </c>
      <c r="E132" s="1" t="n">
        <v>46317</v>
      </c>
      <c r="F132" t="inlineStr">
        <is>
          <t>JÖNKÖPINGS LÄN</t>
        </is>
      </c>
      <c r="G132" t="inlineStr">
        <is>
          <t>ANEBY</t>
        </is>
      </c>
      <c r="H132" t="inlineStr">
        <is>
          <t>Sveaskog</t>
        </is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50744-2025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45946</v>
      </c>
      <c r="E133" s="1" t="n">
        <v>46317</v>
      </c>
      <c r="F133" t="inlineStr">
        <is>
          <t>JÖNKÖPINGS LÄN</t>
        </is>
      </c>
      <c r="G133" t="inlineStr">
        <is>
          <t>ANEBY</t>
        </is>
      </c>
      <c r="I133" t="n">
        <v>1.6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51684-2025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45951</v>
      </c>
      <c r="E134" s="1" t="n">
        <v>46317</v>
      </c>
      <c r="F134" t="inlineStr">
        <is>
          <t>JÖNKÖPINGS LÄN</t>
        </is>
      </c>
      <c r="G134" t="inlineStr">
        <is>
          <t>ANEBY</t>
        </is>
      </c>
      <c r="I134" t="n">
        <v>1.6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55708-2022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44888</v>
      </c>
      <c r="E135" s="1" t="n">
        <v>46317</v>
      </c>
      <c r="F135" t="inlineStr">
        <is>
          <t>JÖNKÖPINGS LÄN</t>
        </is>
      </c>
      <c r="G135" t="inlineStr">
        <is>
          <t>ANEBY</t>
        </is>
      </c>
      <c r="I135" t="n">
        <v>2.1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52718-2025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45953</v>
      </c>
      <c r="E136" s="1" t="n">
        <v>46317</v>
      </c>
      <c r="F136" t="inlineStr">
        <is>
          <t>JÖNKÖPINGS LÄN</t>
        </is>
      </c>
      <c r="G136" t="inlineStr">
        <is>
          <t>ANEBY</t>
        </is>
      </c>
      <c r="I136" t="n">
        <v>3.8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1955-2026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46035</v>
      </c>
      <c r="E137" s="1" t="n">
        <v>46317</v>
      </c>
      <c r="F137" t="inlineStr">
        <is>
          <t>JÖNKÖPINGS LÄN</t>
        </is>
      </c>
      <c r="G137" t="inlineStr">
        <is>
          <t>ANEBY</t>
        </is>
      </c>
      <c r="I137" t="n">
        <v>4.8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53570-2025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45960</v>
      </c>
      <c r="E138" s="1" t="n">
        <v>46317</v>
      </c>
      <c r="F138" t="inlineStr">
        <is>
          <t>JÖNKÖPINGS LÄN</t>
        </is>
      </c>
      <c r="G138" t="inlineStr">
        <is>
          <t>ANEBY</t>
        </is>
      </c>
      <c r="I138" t="n">
        <v>1.5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51677-2025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45951</v>
      </c>
      <c r="E139" s="1" t="n">
        <v>46317</v>
      </c>
      <c r="F139" t="inlineStr">
        <is>
          <t>JÖNKÖPINGS LÄN</t>
        </is>
      </c>
      <c r="G139" t="inlineStr">
        <is>
          <t>ANEBY</t>
        </is>
      </c>
      <c r="I139" t="n">
        <v>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54998-2025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45967</v>
      </c>
      <c r="E140" s="1" t="n">
        <v>46317</v>
      </c>
      <c r="F140" t="inlineStr">
        <is>
          <t>JÖNKÖPINGS LÄN</t>
        </is>
      </c>
      <c r="G140" t="inlineStr">
        <is>
          <t>ANEBY</t>
        </is>
      </c>
      <c r="I140" t="n">
        <v>2.6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54911-2025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45967</v>
      </c>
      <c r="E141" s="1" t="n">
        <v>46317</v>
      </c>
      <c r="F141" t="inlineStr">
        <is>
          <t>JÖNKÖPINGS LÄN</t>
        </is>
      </c>
      <c r="G141" t="inlineStr">
        <is>
          <t>ANEBY</t>
        </is>
      </c>
      <c r="I141" t="n">
        <v>1.5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9068-2024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45357</v>
      </c>
      <c r="E142" s="1" t="n">
        <v>46317</v>
      </c>
      <c r="F142" t="inlineStr">
        <is>
          <t>JÖNKÖPINGS LÄN</t>
        </is>
      </c>
      <c r="G142" t="inlineStr">
        <is>
          <t>ANEBY</t>
        </is>
      </c>
      <c r="I142" t="n">
        <v>1.1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11565-2025</t>
        </is>
      </c>
      <c r="B143" t="inlineStr">
        <is>
          <t>avverkningsanmälan</t>
        </is>
      </c>
      <c r="C143" t="inlineStr">
        <is>
          <t>Avverkning för annat ändamål</t>
        </is>
      </c>
      <c r="D143" s="1" t="n">
        <v>45727</v>
      </c>
      <c r="E143" s="1" t="n">
        <v>46317</v>
      </c>
      <c r="F143" t="inlineStr">
        <is>
          <t>JÖNKÖPINGS LÄN</t>
        </is>
      </c>
      <c r="G143" t="inlineStr">
        <is>
          <t>ANEBY</t>
        </is>
      </c>
      <c r="I143" t="n">
        <v>2.4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56812-2025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45978</v>
      </c>
      <c r="E144" s="1" t="n">
        <v>46317</v>
      </c>
      <c r="F144" t="inlineStr">
        <is>
          <t>JÖNKÖPINGS LÄN</t>
        </is>
      </c>
      <c r="G144" t="inlineStr">
        <is>
          <t>ANEBY</t>
        </is>
      </c>
      <c r="H144" t="inlineStr">
        <is>
          <t>Övriga Aktiebolag</t>
        </is>
      </c>
      <c r="I144" t="n">
        <v>19.6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6512-2023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44966</v>
      </c>
      <c r="E145" s="1" t="n">
        <v>46317</v>
      </c>
      <c r="F145" t="inlineStr">
        <is>
          <t>JÖNKÖPINGS LÄN</t>
        </is>
      </c>
      <c r="G145" t="inlineStr">
        <is>
          <t>ANEBY</t>
        </is>
      </c>
      <c r="I145" t="n">
        <v>1.7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17027-2023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45034</v>
      </c>
      <c r="E146" s="1" t="n">
        <v>46317</v>
      </c>
      <c r="F146" t="inlineStr">
        <is>
          <t>JÖNKÖPINGS LÄN</t>
        </is>
      </c>
      <c r="G146" t="inlineStr">
        <is>
          <t>ANEBY</t>
        </is>
      </c>
      <c r="H146" t="inlineStr">
        <is>
          <t>Kyrkan</t>
        </is>
      </c>
      <c r="I146" t="n">
        <v>1.1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54415-2024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45617</v>
      </c>
      <c r="E147" s="1" t="n">
        <v>46317</v>
      </c>
      <c r="F147" t="inlineStr">
        <is>
          <t>JÖNKÖPINGS LÄN</t>
        </is>
      </c>
      <c r="G147" t="inlineStr">
        <is>
          <t>ANEBY</t>
        </is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57501-2025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45980</v>
      </c>
      <c r="E148" s="1" t="n">
        <v>46317</v>
      </c>
      <c r="F148" t="inlineStr">
        <is>
          <t>JÖNKÖPINGS LÄN</t>
        </is>
      </c>
      <c r="G148" t="inlineStr">
        <is>
          <t>ANEBY</t>
        </is>
      </c>
      <c r="I148" t="n">
        <v>1.6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57508-2025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45980</v>
      </c>
      <c r="E149" s="1" t="n">
        <v>46317</v>
      </c>
      <c r="F149" t="inlineStr">
        <is>
          <t>JÖNKÖPINGS LÄN</t>
        </is>
      </c>
      <c r="G149" t="inlineStr">
        <is>
          <t>ANEBY</t>
        </is>
      </c>
      <c r="I149" t="n">
        <v>0.8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21355-2022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44705</v>
      </c>
      <c r="E150" s="1" t="n">
        <v>46317</v>
      </c>
      <c r="F150" t="inlineStr">
        <is>
          <t>JÖNKÖPINGS LÄN</t>
        </is>
      </c>
      <c r="G150" t="inlineStr">
        <is>
          <t>ANEBY</t>
        </is>
      </c>
      <c r="I150" t="n">
        <v>2.8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57504-2025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45980</v>
      </c>
      <c r="E151" s="1" t="n">
        <v>46317</v>
      </c>
      <c r="F151" t="inlineStr">
        <is>
          <t>JÖNKÖPINGS LÄN</t>
        </is>
      </c>
      <c r="G151" t="inlineStr">
        <is>
          <t>ANEBY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9541-2024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45359</v>
      </c>
      <c r="E152" s="1" t="n">
        <v>46317</v>
      </c>
      <c r="F152" t="inlineStr">
        <is>
          <t>JÖNKÖPINGS LÄN</t>
        </is>
      </c>
      <c r="G152" t="inlineStr">
        <is>
          <t>ANEBY</t>
        </is>
      </c>
      <c r="I152" t="n">
        <v>5.5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58123-2025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45982</v>
      </c>
      <c r="E153" s="1" t="n">
        <v>46317</v>
      </c>
      <c r="F153" t="inlineStr">
        <is>
          <t>JÖNKÖPINGS LÄN</t>
        </is>
      </c>
      <c r="G153" t="inlineStr">
        <is>
          <t>ANEBY</t>
        </is>
      </c>
      <c r="I153" t="n">
        <v>2.2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15481-2023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45020</v>
      </c>
      <c r="E154" s="1" t="n">
        <v>46317</v>
      </c>
      <c r="F154" t="inlineStr">
        <is>
          <t>JÖNKÖPINGS LÄN</t>
        </is>
      </c>
      <c r="G154" t="inlineStr">
        <is>
          <t>ANEBY</t>
        </is>
      </c>
      <c r="I154" t="n">
        <v>3.6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11976-2023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44994</v>
      </c>
      <c r="E155" s="1" t="n">
        <v>46317</v>
      </c>
      <c r="F155" t="inlineStr">
        <is>
          <t>JÖNKÖPINGS LÄN</t>
        </is>
      </c>
      <c r="G155" t="inlineStr">
        <is>
          <t>ANEBY</t>
        </is>
      </c>
      <c r="I155" t="n">
        <v>1.9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47409-2022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44851</v>
      </c>
      <c r="E156" s="1" t="n">
        <v>46317</v>
      </c>
      <c r="F156" t="inlineStr">
        <is>
          <t>JÖNKÖPINGS LÄN</t>
        </is>
      </c>
      <c r="G156" t="inlineStr">
        <is>
          <t>ANEBY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4318-2026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46045</v>
      </c>
      <c r="E157" s="1" t="n">
        <v>46317</v>
      </c>
      <c r="F157" t="inlineStr">
        <is>
          <t>JÖNKÖPINGS LÄN</t>
        </is>
      </c>
      <c r="G157" t="inlineStr">
        <is>
          <t>ANEBY</t>
        </is>
      </c>
      <c r="I157" t="n">
        <v>2.7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9069-2024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45357</v>
      </c>
      <c r="E158" s="1" t="n">
        <v>46317</v>
      </c>
      <c r="F158" t="inlineStr">
        <is>
          <t>JÖNKÖPINGS LÄN</t>
        </is>
      </c>
      <c r="G158" t="inlineStr">
        <is>
          <t>ANEBY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9071-2024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45357</v>
      </c>
      <c r="E159" s="1" t="n">
        <v>46317</v>
      </c>
      <c r="F159" t="inlineStr">
        <is>
          <t>JÖNKÖPINGS LÄN</t>
        </is>
      </c>
      <c r="G159" t="inlineStr">
        <is>
          <t>ANEBY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26241-2024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45468</v>
      </c>
      <c r="E160" s="1" t="n">
        <v>46317</v>
      </c>
      <c r="F160" t="inlineStr">
        <is>
          <t>JÖNKÖPINGS LÄN</t>
        </is>
      </c>
      <c r="G160" t="inlineStr">
        <is>
          <t>ANEBY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60094-2025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45993</v>
      </c>
      <c r="E161" s="1" t="n">
        <v>46317</v>
      </c>
      <c r="F161" t="inlineStr">
        <is>
          <t>JÖNKÖPINGS LÄN</t>
        </is>
      </c>
      <c r="G161" t="inlineStr">
        <is>
          <t>ANEBY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5719-2026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46051</v>
      </c>
      <c r="E162" s="1" t="n">
        <v>46317</v>
      </c>
      <c r="F162" t="inlineStr">
        <is>
          <t>JÖNKÖPINGS LÄN</t>
        </is>
      </c>
      <c r="G162" t="inlineStr">
        <is>
          <t>ANEBY</t>
        </is>
      </c>
      <c r="I162" t="n">
        <v>4.2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61005-2024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45645</v>
      </c>
      <c r="E163" s="1" t="n">
        <v>46317</v>
      </c>
      <c r="F163" t="inlineStr">
        <is>
          <t>JÖNKÖPINGS LÄN</t>
        </is>
      </c>
      <c r="G163" t="inlineStr">
        <is>
          <t>ANEBY</t>
        </is>
      </c>
      <c r="I163" t="n">
        <v>2.1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61296-2025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46000</v>
      </c>
      <c r="E164" s="1" t="n">
        <v>46317</v>
      </c>
      <c r="F164" t="inlineStr">
        <is>
          <t>JÖNKÖPINGS LÄN</t>
        </is>
      </c>
      <c r="G164" t="inlineStr">
        <is>
          <t>ANEBY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61295-2025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46000</v>
      </c>
      <c r="E165" s="1" t="n">
        <v>46317</v>
      </c>
      <c r="F165" t="inlineStr">
        <is>
          <t>JÖNKÖPINGS LÄN</t>
        </is>
      </c>
      <c r="G165" t="inlineStr">
        <is>
          <t>ANEBY</t>
        </is>
      </c>
      <c r="I165" t="n">
        <v>4.3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34780-2023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45141</v>
      </c>
      <c r="E166" s="1" t="n">
        <v>46317</v>
      </c>
      <c r="F166" t="inlineStr">
        <is>
          <t>JÖNKÖPINGS LÄN</t>
        </is>
      </c>
      <c r="G166" t="inlineStr">
        <is>
          <t>ANEBY</t>
        </is>
      </c>
      <c r="I166" t="n">
        <v>2.2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37708-2023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45159</v>
      </c>
      <c r="E167" s="1" t="n">
        <v>46317</v>
      </c>
      <c r="F167" t="inlineStr">
        <is>
          <t>JÖNKÖPINGS LÄN</t>
        </is>
      </c>
      <c r="G167" t="inlineStr">
        <is>
          <t>ANEBY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21026-2024</t>
        </is>
      </c>
      <c r="B168" t="inlineStr">
        <is>
          <t>avverkningsanmälan</t>
        </is>
      </c>
      <c r="C168" t="inlineStr">
        <is>
          <t>Avverkning för att bevara och utveckla /försöksver</t>
        </is>
      </c>
      <c r="D168" s="1" t="n">
        <v>45439</v>
      </c>
      <c r="E168" s="1" t="n">
        <v>46317</v>
      </c>
      <c r="F168" t="inlineStr">
        <is>
          <t>JÖNKÖPINGS LÄN</t>
        </is>
      </c>
      <c r="G168" t="inlineStr">
        <is>
          <t>ANEBY</t>
        </is>
      </c>
      <c r="H168" t="inlineStr">
        <is>
          <t>Sveaskog</t>
        </is>
      </c>
      <c r="I168" t="n">
        <v>1.9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39694-2024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45552</v>
      </c>
      <c r="E169" s="1" t="n">
        <v>46317</v>
      </c>
      <c r="F169" t="inlineStr">
        <is>
          <t>JÖNKÖPINGS LÄN</t>
        </is>
      </c>
      <c r="G169" t="inlineStr">
        <is>
          <t>ANEBY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61297-2025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46000</v>
      </c>
      <c r="E170" s="1" t="n">
        <v>46317</v>
      </c>
      <c r="F170" t="inlineStr">
        <is>
          <t>JÖNKÖPINGS LÄN</t>
        </is>
      </c>
      <c r="G170" t="inlineStr">
        <is>
          <t>ANEBY</t>
        </is>
      </c>
      <c r="I170" t="n">
        <v>2.6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12548-2024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45379</v>
      </c>
      <c r="E171" s="1" t="n">
        <v>46317</v>
      </c>
      <c r="F171" t="inlineStr">
        <is>
          <t>JÖNKÖPINGS LÄN</t>
        </is>
      </c>
      <c r="G171" t="inlineStr">
        <is>
          <t>ANEBY</t>
        </is>
      </c>
      <c r="I171" t="n">
        <v>0.4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62090-2025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46006</v>
      </c>
      <c r="E172" s="1" t="n">
        <v>46317</v>
      </c>
      <c r="F172" t="inlineStr">
        <is>
          <t>JÖNKÖPINGS LÄN</t>
        </is>
      </c>
      <c r="G172" t="inlineStr">
        <is>
          <t>ANEBY</t>
        </is>
      </c>
      <c r="I172" t="n">
        <v>2.2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6638-2026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46056</v>
      </c>
      <c r="E173" s="1" t="n">
        <v>46317</v>
      </c>
      <c r="F173" t="inlineStr">
        <is>
          <t>JÖNKÖPINGS LÄN</t>
        </is>
      </c>
      <c r="G173" t="inlineStr">
        <is>
          <t>ANEBY</t>
        </is>
      </c>
      <c r="I173" t="n">
        <v>2.4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6827-2026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46057</v>
      </c>
      <c r="E174" s="1" t="n">
        <v>46317</v>
      </c>
      <c r="F174" t="inlineStr">
        <is>
          <t>JÖNKÖPINGS LÄN</t>
        </is>
      </c>
      <c r="G174" t="inlineStr">
        <is>
          <t>ANEBY</t>
        </is>
      </c>
      <c r="I174" t="n">
        <v>4.1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7266-2026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46058</v>
      </c>
      <c r="E175" s="1" t="n">
        <v>46317</v>
      </c>
      <c r="F175" t="inlineStr">
        <is>
          <t>JÖNKÖPINGS LÄN</t>
        </is>
      </c>
      <c r="G175" t="inlineStr">
        <is>
          <t>ANEBY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43613-2023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45184</v>
      </c>
      <c r="E176" s="1" t="n">
        <v>46317</v>
      </c>
      <c r="F176" t="inlineStr">
        <is>
          <t>JÖNKÖPINGS LÄN</t>
        </is>
      </c>
      <c r="G176" t="inlineStr">
        <is>
          <t>ANEBY</t>
        </is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7263-2026</t>
        </is>
      </c>
      <c r="B177" t="inlineStr">
        <is>
          <t>avverkningsanmälan</t>
        </is>
      </c>
      <c r="C177" t="inlineStr">
        <is>
          <t>Avverkning för annat ändamål</t>
        </is>
      </c>
      <c r="D177" s="1" t="n">
        <v>46058</v>
      </c>
      <c r="E177" s="1" t="n">
        <v>46317</v>
      </c>
      <c r="F177" t="inlineStr">
        <is>
          <t>JÖNKÖPINGS LÄN</t>
        </is>
      </c>
      <c r="G177" t="inlineStr">
        <is>
          <t>ANEBY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6873-2026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46057</v>
      </c>
      <c r="E178" s="1" t="n">
        <v>46317</v>
      </c>
      <c r="F178" t="inlineStr">
        <is>
          <t>JÖNKÖPINGS LÄN</t>
        </is>
      </c>
      <c r="G178" t="inlineStr">
        <is>
          <t>ANEBY</t>
        </is>
      </c>
      <c r="I178" t="n">
        <v>2.8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6863-2026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46057</v>
      </c>
      <c r="E179" s="1" t="n">
        <v>46317</v>
      </c>
      <c r="F179" t="inlineStr">
        <is>
          <t>JÖNKÖPINGS LÄN</t>
        </is>
      </c>
      <c r="G179" t="inlineStr">
        <is>
          <t>ANEBY</t>
        </is>
      </c>
      <c r="I179" t="n">
        <v>1.6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865-2026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46030</v>
      </c>
      <c r="E180" s="1" t="n">
        <v>46317</v>
      </c>
      <c r="F180" t="inlineStr">
        <is>
          <t>JÖNKÖPINGS LÄN</t>
        </is>
      </c>
      <c r="G180" t="inlineStr">
        <is>
          <t>ANEBY</t>
        </is>
      </c>
      <c r="I180" t="n">
        <v>1.4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7514-2026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46059</v>
      </c>
      <c r="E181" s="1" t="n">
        <v>46317</v>
      </c>
      <c r="F181" t="inlineStr">
        <is>
          <t>JÖNKÖPINGS LÄN</t>
        </is>
      </c>
      <c r="G181" t="inlineStr">
        <is>
          <t>ANEBY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23349-2023</t>
        </is>
      </c>
      <c r="B182" t="inlineStr">
        <is>
          <t>avverkningsanmälan</t>
        </is>
      </c>
      <c r="C182" t="inlineStr">
        <is>
          <t>Avverkning för annat ändamål</t>
        </is>
      </c>
      <c r="D182" s="1" t="n">
        <v>45076</v>
      </c>
      <c r="E182" s="1" t="n">
        <v>46317</v>
      </c>
      <c r="F182" t="inlineStr">
        <is>
          <t>JÖNKÖPINGS LÄN</t>
        </is>
      </c>
      <c r="G182" t="inlineStr">
        <is>
          <t>ANEBY</t>
        </is>
      </c>
      <c r="I182" t="n">
        <v>0.4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8338-2026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46064</v>
      </c>
      <c r="E183" s="1" t="n">
        <v>46317</v>
      </c>
      <c r="F183" t="inlineStr">
        <is>
          <t>JÖNKÖPINGS LÄN</t>
        </is>
      </c>
      <c r="G183" t="inlineStr">
        <is>
          <t>ANEBY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16308-2023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45028</v>
      </c>
      <c r="E184" s="1" t="n">
        <v>46317</v>
      </c>
      <c r="F184" t="inlineStr">
        <is>
          <t>JÖNKÖPINGS LÄN</t>
        </is>
      </c>
      <c r="G184" t="inlineStr">
        <is>
          <t>ANEBY</t>
        </is>
      </c>
      <c r="I184" t="n">
        <v>0.7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42795-2023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45182</v>
      </c>
      <c r="E185" s="1" t="n">
        <v>46317</v>
      </c>
      <c r="F185" t="inlineStr">
        <is>
          <t>JÖNKÖPINGS LÄN</t>
        </is>
      </c>
      <c r="G185" t="inlineStr">
        <is>
          <t>ANEBY</t>
        </is>
      </c>
      <c r="I185" t="n">
        <v>1.8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61946-2024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45653</v>
      </c>
      <c r="E186" s="1" t="n">
        <v>46317</v>
      </c>
      <c r="F186" t="inlineStr">
        <is>
          <t>JÖNKÖPINGS LÄN</t>
        </is>
      </c>
      <c r="G186" t="inlineStr">
        <is>
          <t>ANEBY</t>
        </is>
      </c>
      <c r="I186" t="n">
        <v>6.7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4986-2025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45691</v>
      </c>
      <c r="E187" s="1" t="n">
        <v>46317</v>
      </c>
      <c r="F187" t="inlineStr">
        <is>
          <t>JÖNKÖPINGS LÄN</t>
        </is>
      </c>
      <c r="G187" t="inlineStr">
        <is>
          <t>ANEBY</t>
        </is>
      </c>
      <c r="I187" t="n">
        <v>0.7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10162-2026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46076</v>
      </c>
      <c r="E188" s="1" t="n">
        <v>46317</v>
      </c>
      <c r="F188" t="inlineStr">
        <is>
          <t>JÖNKÖPINGS LÄN</t>
        </is>
      </c>
      <c r="G188" t="inlineStr">
        <is>
          <t>ANEBY</t>
        </is>
      </c>
      <c r="I188" t="n">
        <v>0.7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9891-2026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46073</v>
      </c>
      <c r="E189" s="1" t="n">
        <v>46317</v>
      </c>
      <c r="F189" t="inlineStr">
        <is>
          <t>JÖNKÖPINGS LÄN</t>
        </is>
      </c>
      <c r="G189" t="inlineStr">
        <is>
          <t>ANEBY</t>
        </is>
      </c>
      <c r="I189" t="n">
        <v>1.5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16928-2023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45033</v>
      </c>
      <c r="E190" s="1" t="n">
        <v>46317</v>
      </c>
      <c r="F190" t="inlineStr">
        <is>
          <t>JÖNKÖPINGS LÄN</t>
        </is>
      </c>
      <c r="G190" t="inlineStr">
        <is>
          <t>ANEBY</t>
        </is>
      </c>
      <c r="I190" t="n">
        <v>3.6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11618-2026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46084</v>
      </c>
      <c r="E191" s="1" t="n">
        <v>46317</v>
      </c>
      <c r="F191" t="inlineStr">
        <is>
          <t>JÖNKÖPINGS LÄN</t>
        </is>
      </c>
      <c r="G191" t="inlineStr">
        <is>
          <t>ANEBY</t>
        </is>
      </c>
      <c r="I191" t="n">
        <v>2.9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20219-2025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45772</v>
      </c>
      <c r="E192" s="1" t="n">
        <v>46317</v>
      </c>
      <c r="F192" t="inlineStr">
        <is>
          <t>JÖNKÖPINGS LÄN</t>
        </is>
      </c>
      <c r="G192" t="inlineStr">
        <is>
          <t>ANEBY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12576-2026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46090</v>
      </c>
      <c r="E193" s="1" t="n">
        <v>46317</v>
      </c>
      <c r="F193" t="inlineStr">
        <is>
          <t>JÖNKÖPINGS LÄN</t>
        </is>
      </c>
      <c r="G193" t="inlineStr">
        <is>
          <t>ANEBY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19335-2025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45769</v>
      </c>
      <c r="E194" s="1" t="n">
        <v>46317</v>
      </c>
      <c r="F194" t="inlineStr">
        <is>
          <t>JÖNKÖPINGS LÄN</t>
        </is>
      </c>
      <c r="G194" t="inlineStr">
        <is>
          <t>ANEBY</t>
        </is>
      </c>
      <c r="I194" t="n">
        <v>7.1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13038-2026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46093</v>
      </c>
      <c r="E195" s="1" t="n">
        <v>46317</v>
      </c>
      <c r="F195" t="inlineStr">
        <is>
          <t>JÖNKÖPINGS LÄN</t>
        </is>
      </c>
      <c r="G195" t="inlineStr">
        <is>
          <t>ANEBY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7471-2022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44606</v>
      </c>
      <c r="E196" s="1" t="n">
        <v>46317</v>
      </c>
      <c r="F196" t="inlineStr">
        <is>
          <t>JÖNKÖPINGS LÄN</t>
        </is>
      </c>
      <c r="G196" t="inlineStr">
        <is>
          <t>ANEBY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15091-2023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45016</v>
      </c>
      <c r="E197" s="1" t="n">
        <v>46317</v>
      </c>
      <c r="F197" t="inlineStr">
        <is>
          <t>JÖNKÖPINGS LÄN</t>
        </is>
      </c>
      <c r="G197" t="inlineStr">
        <is>
          <t>ANEBY</t>
        </is>
      </c>
      <c r="I197" t="n">
        <v>4.4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23354-2023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45076</v>
      </c>
      <c r="E198" s="1" t="n">
        <v>46317</v>
      </c>
      <c r="F198" t="inlineStr">
        <is>
          <t>JÖNKÖPINGS LÄN</t>
        </is>
      </c>
      <c r="G198" t="inlineStr">
        <is>
          <t>ANEBY</t>
        </is>
      </c>
      <c r="I198" t="n">
        <v>0.4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14003-2026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46098</v>
      </c>
      <c r="E199" s="1" t="n">
        <v>46317</v>
      </c>
      <c r="F199" t="inlineStr">
        <is>
          <t>JÖNKÖPINGS LÄN</t>
        </is>
      </c>
      <c r="G199" t="inlineStr">
        <is>
          <t>ANEBY</t>
        </is>
      </c>
      <c r="H199" t="inlineStr">
        <is>
          <t>Övriga Aktiebolag</t>
        </is>
      </c>
      <c r="I199" t="n">
        <v>20.7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37135-2024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45539</v>
      </c>
      <c r="E200" s="1" t="n">
        <v>46317</v>
      </c>
      <c r="F200" t="inlineStr">
        <is>
          <t>JÖNKÖPINGS LÄN</t>
        </is>
      </c>
      <c r="G200" t="inlineStr">
        <is>
          <t>ANEBY</t>
        </is>
      </c>
      <c r="I200" t="n">
        <v>2.5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14824-2026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46104</v>
      </c>
      <c r="E201" s="1" t="n">
        <v>46317</v>
      </c>
      <c r="F201" t="inlineStr">
        <is>
          <t>JÖNKÖPINGS LÄN</t>
        </is>
      </c>
      <c r="G201" t="inlineStr">
        <is>
          <t>ANEBY</t>
        </is>
      </c>
      <c r="I201" t="n">
        <v>0.9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15170-2026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46105</v>
      </c>
      <c r="E202" s="1" t="n">
        <v>46317</v>
      </c>
      <c r="F202" t="inlineStr">
        <is>
          <t>JÖNKÖPINGS LÄN</t>
        </is>
      </c>
      <c r="G202" t="inlineStr">
        <is>
          <t>ANEBY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15195-2026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46105</v>
      </c>
      <c r="E203" s="1" t="n">
        <v>46317</v>
      </c>
      <c r="F203" t="inlineStr">
        <is>
          <t>JÖNKÖPINGS LÄN</t>
        </is>
      </c>
      <c r="G203" t="inlineStr">
        <is>
          <t>ANEBY</t>
        </is>
      </c>
      <c r="I203" t="n">
        <v>2.7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15187-2026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46105</v>
      </c>
      <c r="E204" s="1" t="n">
        <v>46317</v>
      </c>
      <c r="F204" t="inlineStr">
        <is>
          <t>JÖNKÖPINGS LÄN</t>
        </is>
      </c>
      <c r="G204" t="inlineStr">
        <is>
          <t>ANEBY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14822-2026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46104</v>
      </c>
      <c r="E205" s="1" t="n">
        <v>46317</v>
      </c>
      <c r="F205" t="inlineStr">
        <is>
          <t>JÖNKÖPINGS LÄN</t>
        </is>
      </c>
      <c r="G205" t="inlineStr">
        <is>
          <t>ANEBY</t>
        </is>
      </c>
      <c r="I205" t="n">
        <v>3.1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16306-2023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45028</v>
      </c>
      <c r="E206" s="1" t="n">
        <v>46317</v>
      </c>
      <c r="F206" t="inlineStr">
        <is>
          <t>JÖNKÖPINGS LÄN</t>
        </is>
      </c>
      <c r="G206" t="inlineStr">
        <is>
          <t>ANEBY</t>
        </is>
      </c>
      <c r="I206" t="n">
        <v>1.1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25103-2023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45086</v>
      </c>
      <c r="E207" s="1" t="n">
        <v>46317</v>
      </c>
      <c r="F207" t="inlineStr">
        <is>
          <t>JÖNKÖPINGS LÄN</t>
        </is>
      </c>
      <c r="G207" t="inlineStr">
        <is>
          <t>ANEBY</t>
        </is>
      </c>
      <c r="I207" t="n">
        <v>1.2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54692-2023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45236</v>
      </c>
      <c r="E208" s="1" t="n">
        <v>46317</v>
      </c>
      <c r="F208" t="inlineStr">
        <is>
          <t>JÖNKÖPINGS LÄN</t>
        </is>
      </c>
      <c r="G208" t="inlineStr">
        <is>
          <t>ANEBY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25513-2023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45089</v>
      </c>
      <c r="E209" s="1" t="n">
        <v>46317</v>
      </c>
      <c r="F209" t="inlineStr">
        <is>
          <t>JÖNKÖPINGS LÄN</t>
        </is>
      </c>
      <c r="G209" t="inlineStr">
        <is>
          <t>ANEBY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43291-2023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45183</v>
      </c>
      <c r="E210" s="1" t="n">
        <v>46317</v>
      </c>
      <c r="F210" t="inlineStr">
        <is>
          <t>JÖNKÖPINGS LÄN</t>
        </is>
      </c>
      <c r="G210" t="inlineStr">
        <is>
          <t>ANEBY</t>
        </is>
      </c>
      <c r="I210" t="n">
        <v>1.5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18147-2026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46125</v>
      </c>
      <c r="E211" s="1" t="n">
        <v>46317</v>
      </c>
      <c r="F211" t="inlineStr">
        <is>
          <t>JÖNKÖPINGS LÄN</t>
        </is>
      </c>
      <c r="G211" t="inlineStr">
        <is>
          <t>ANEBY</t>
        </is>
      </c>
      <c r="I211" t="n">
        <v>0.9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18142-2026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46125</v>
      </c>
      <c r="E212" s="1" t="n">
        <v>46317</v>
      </c>
      <c r="F212" t="inlineStr">
        <is>
          <t>JÖNKÖPINGS LÄN</t>
        </is>
      </c>
      <c r="G212" t="inlineStr">
        <is>
          <t>ANEBY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30028-2023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45110</v>
      </c>
      <c r="E213" s="1" t="n">
        <v>46317</v>
      </c>
      <c r="F213" t="inlineStr">
        <is>
          <t>JÖNKÖPINGS LÄN</t>
        </is>
      </c>
      <c r="G213" t="inlineStr">
        <is>
          <t>ANEBY</t>
        </is>
      </c>
      <c r="I213" t="n">
        <v>1.2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13852-2023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45007</v>
      </c>
      <c r="E214" s="1" t="n">
        <v>46317</v>
      </c>
      <c r="F214" t="inlineStr">
        <is>
          <t>JÖNKÖPINGS LÄN</t>
        </is>
      </c>
      <c r="G214" t="inlineStr">
        <is>
          <t>ANEBY</t>
        </is>
      </c>
      <c r="I214" t="n">
        <v>0.8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12655-2024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45384</v>
      </c>
      <c r="E215" s="1" t="n">
        <v>46317</v>
      </c>
      <c r="F215" t="inlineStr">
        <is>
          <t>JÖNKÖPINGS LÄN</t>
        </is>
      </c>
      <c r="G215" t="inlineStr">
        <is>
          <t>ANEBY</t>
        </is>
      </c>
      <c r="I215" t="n">
        <v>2.9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59507-2022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44900</v>
      </c>
      <c r="E216" s="1" t="n">
        <v>46317</v>
      </c>
      <c r="F216" t="inlineStr">
        <is>
          <t>JÖNKÖPINGS LÄN</t>
        </is>
      </c>
      <c r="G216" t="inlineStr">
        <is>
          <t>ANEBY</t>
        </is>
      </c>
      <c r="H216" t="inlineStr">
        <is>
          <t>Övriga Aktiebolag</t>
        </is>
      </c>
      <c r="I216" t="n">
        <v>1.4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23715-2023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45077</v>
      </c>
      <c r="E217" s="1" t="n">
        <v>46317</v>
      </c>
      <c r="F217" t="inlineStr">
        <is>
          <t>JÖNKÖPINGS LÄN</t>
        </is>
      </c>
      <c r="G217" t="inlineStr">
        <is>
          <t>ANEBY</t>
        </is>
      </c>
      <c r="I217" t="n">
        <v>2.1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23716-2023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45077</v>
      </c>
      <c r="E218" s="1" t="n">
        <v>46317</v>
      </c>
      <c r="F218" t="inlineStr">
        <is>
          <t>JÖNKÖPINGS LÄN</t>
        </is>
      </c>
      <c r="G218" t="inlineStr">
        <is>
          <t>ANEBY</t>
        </is>
      </c>
      <c r="I218" t="n">
        <v>1.4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18419-2026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46126</v>
      </c>
      <c r="E219" s="1" t="n">
        <v>46317</v>
      </c>
      <c r="F219" t="inlineStr">
        <is>
          <t>JÖNKÖPINGS LÄN</t>
        </is>
      </c>
      <c r="G219" t="inlineStr">
        <is>
          <t>ANEBY</t>
        </is>
      </c>
      <c r="I219" t="n">
        <v>1.6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5372-2023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44959</v>
      </c>
      <c r="E220" s="1" t="n">
        <v>46317</v>
      </c>
      <c r="F220" t="inlineStr">
        <is>
          <t>JÖNKÖPINGS LÄN</t>
        </is>
      </c>
      <c r="G220" t="inlineStr">
        <is>
          <t>ANEBY</t>
        </is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12533-2024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45379</v>
      </c>
      <c r="E221" s="1" t="n">
        <v>46317</v>
      </c>
      <c r="F221" t="inlineStr">
        <is>
          <t>JÖNKÖPINGS LÄN</t>
        </is>
      </c>
      <c r="G221" t="inlineStr">
        <is>
          <t>ANEBY</t>
        </is>
      </c>
      <c r="I221" t="n">
        <v>2.9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32750-2023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45122</v>
      </c>
      <c r="E222" s="1" t="n">
        <v>46317</v>
      </c>
      <c r="F222" t="inlineStr">
        <is>
          <t>JÖNKÖPINGS LÄN</t>
        </is>
      </c>
      <c r="G222" t="inlineStr">
        <is>
          <t>ANEBY</t>
        </is>
      </c>
      <c r="I222" t="n">
        <v>2.8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37690-2023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45159</v>
      </c>
      <c r="E223" s="1" t="n">
        <v>46317</v>
      </c>
      <c r="F223" t="inlineStr">
        <is>
          <t>JÖNKÖPINGS LÄN</t>
        </is>
      </c>
      <c r="G223" t="inlineStr">
        <is>
          <t>ANEBY</t>
        </is>
      </c>
      <c r="I223" t="n">
        <v>2.8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32768-2025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45839</v>
      </c>
      <c r="E224" s="1" t="n">
        <v>46317</v>
      </c>
      <c r="F224" t="inlineStr">
        <is>
          <t>JÖNKÖPINGS LÄN</t>
        </is>
      </c>
      <c r="G224" t="inlineStr">
        <is>
          <t>ANEBY</t>
        </is>
      </c>
      <c r="I224" t="n">
        <v>7.2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46126-2025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45924</v>
      </c>
      <c r="E225" s="1" t="n">
        <v>46317</v>
      </c>
      <c r="F225" t="inlineStr">
        <is>
          <t>JÖNKÖPINGS LÄN</t>
        </is>
      </c>
      <c r="G225" t="inlineStr">
        <is>
          <t>ANEBY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5186-2023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44959</v>
      </c>
      <c r="E226" s="1" t="n">
        <v>46317</v>
      </c>
      <c r="F226" t="inlineStr">
        <is>
          <t>JÖNKÖPINGS LÄN</t>
        </is>
      </c>
      <c r="G226" t="inlineStr">
        <is>
          <t>ANEBY</t>
        </is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1473-2024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45304</v>
      </c>
      <c r="E227" s="1" t="n">
        <v>46317</v>
      </c>
      <c r="F227" t="inlineStr">
        <is>
          <t>JÖNKÖPINGS LÄN</t>
        </is>
      </c>
      <c r="G227" t="inlineStr">
        <is>
          <t>ANEBY</t>
        </is>
      </c>
      <c r="I227" t="n">
        <v>1.8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6930-2024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45343</v>
      </c>
      <c r="E228" s="1" t="n">
        <v>46317</v>
      </c>
      <c r="F228" t="inlineStr">
        <is>
          <t>JÖNKÖPINGS LÄN</t>
        </is>
      </c>
      <c r="G228" t="inlineStr">
        <is>
          <t>ANEBY</t>
        </is>
      </c>
      <c r="I228" t="n">
        <v>1.3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38794-2023</t>
        </is>
      </c>
      <c r="B229" t="inlineStr">
        <is>
          <t>avverkningsanmälan</t>
        </is>
      </c>
      <c r="C229" t="inlineStr">
        <is>
          <t>Avverkning för annat ändamål</t>
        </is>
      </c>
      <c r="D229" s="1" t="n">
        <v>45161</v>
      </c>
      <c r="E229" s="1" t="n">
        <v>46317</v>
      </c>
      <c r="F229" t="inlineStr">
        <is>
          <t>JÖNKÖPINGS LÄN</t>
        </is>
      </c>
      <c r="G229" t="inlineStr">
        <is>
          <t>ANEBY</t>
        </is>
      </c>
      <c r="H229" t="inlineStr">
        <is>
          <t>Övriga Aktiebolag</t>
        </is>
      </c>
      <c r="I229" t="n">
        <v>2.9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26236-2024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45468</v>
      </c>
      <c r="E230" s="1" t="n">
        <v>46317</v>
      </c>
      <c r="F230" t="inlineStr">
        <is>
          <t>JÖNKÖPINGS LÄN</t>
        </is>
      </c>
      <c r="G230" t="inlineStr">
        <is>
          <t>ANEBY</t>
        </is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7945-2025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45707</v>
      </c>
      <c r="E231" s="1" t="n">
        <v>46317</v>
      </c>
      <c r="F231" t="inlineStr">
        <is>
          <t>JÖNKÖPINGS LÄN</t>
        </is>
      </c>
      <c r="G231" t="inlineStr">
        <is>
          <t>ANEBY</t>
        </is>
      </c>
      <c r="I231" t="n">
        <v>8.9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39685-2024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45552</v>
      </c>
      <c r="E232" s="1" t="n">
        <v>46317</v>
      </c>
      <c r="F232" t="inlineStr">
        <is>
          <t>JÖNKÖPINGS LÄN</t>
        </is>
      </c>
      <c r="G232" t="inlineStr">
        <is>
          <t>ANEBY</t>
        </is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48524-2024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45593</v>
      </c>
      <c r="E233" s="1" t="n">
        <v>46317</v>
      </c>
      <c r="F233" t="inlineStr">
        <is>
          <t>JÖNKÖPINGS LÄN</t>
        </is>
      </c>
      <c r="G233" t="inlineStr">
        <is>
          <t>ANEBY</t>
        </is>
      </c>
      <c r="I233" t="n">
        <v>0.4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33048-2023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45126</v>
      </c>
      <c r="E234" s="1" t="n">
        <v>46317</v>
      </c>
      <c r="F234" t="inlineStr">
        <is>
          <t>JÖNKÖPINGS LÄN</t>
        </is>
      </c>
      <c r="G234" t="inlineStr">
        <is>
          <t>ANEBY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50069-2024</t>
        </is>
      </c>
      <c r="B235" t="inlineStr">
        <is>
          <t>avverkningsanmälan</t>
        </is>
      </c>
      <c r="C235" t="inlineStr">
        <is>
          <t>Avverkning för annat ändamål</t>
        </is>
      </c>
      <c r="D235" s="1" t="n">
        <v>45600</v>
      </c>
      <c r="E235" s="1" t="n">
        <v>46317</v>
      </c>
      <c r="F235" t="inlineStr">
        <is>
          <t>JÖNKÖPINGS LÄN</t>
        </is>
      </c>
      <c r="G235" t="inlineStr">
        <is>
          <t>ANEBY</t>
        </is>
      </c>
      <c r="I235" t="n">
        <v>0.4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54213-2024</t>
        </is>
      </c>
      <c r="B236" t="inlineStr">
        <is>
          <t>avverkningsanmälan</t>
        </is>
      </c>
      <c r="C236" t="inlineStr">
        <is>
          <t>Avverkning för annat ändamål</t>
        </is>
      </c>
      <c r="D236" s="1" t="n">
        <v>45616</v>
      </c>
      <c r="E236" s="1" t="n">
        <v>46317</v>
      </c>
      <c r="F236" t="inlineStr">
        <is>
          <t>JÖNKÖPINGS LÄN</t>
        </is>
      </c>
      <c r="G236" t="inlineStr">
        <is>
          <t>ANEBY</t>
        </is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38873-2023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45161</v>
      </c>
      <c r="E237" s="1" t="n">
        <v>46317</v>
      </c>
      <c r="F237" t="inlineStr">
        <is>
          <t>JÖNKÖPINGS LÄN</t>
        </is>
      </c>
      <c r="G237" t="inlineStr">
        <is>
          <t>ANEBY</t>
        </is>
      </c>
      <c r="I237" t="n">
        <v>1.1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2199-2022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44578</v>
      </c>
      <c r="E238" s="1" t="n">
        <v>46317</v>
      </c>
      <c r="F238" t="inlineStr">
        <is>
          <t>JÖNKÖPINGS LÄN</t>
        </is>
      </c>
      <c r="G238" t="inlineStr">
        <is>
          <t>ANEBY</t>
        </is>
      </c>
      <c r="I238" t="n">
        <v>1.3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8846-2024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45356</v>
      </c>
      <c r="E239" s="1" t="n">
        <v>46317</v>
      </c>
      <c r="F239" t="inlineStr">
        <is>
          <t>JÖNKÖPINGS LÄN</t>
        </is>
      </c>
      <c r="G239" t="inlineStr">
        <is>
          <t>ANEBY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44051-2024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45572</v>
      </c>
      <c r="E240" s="1" t="n">
        <v>46317</v>
      </c>
      <c r="F240" t="inlineStr">
        <is>
          <t>JÖNKÖPINGS LÄN</t>
        </is>
      </c>
      <c r="G240" t="inlineStr">
        <is>
          <t>ANEBY</t>
        </is>
      </c>
      <c r="I240" t="n">
        <v>3.1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32891-2023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45124</v>
      </c>
      <c r="E241" s="1" t="n">
        <v>46317</v>
      </c>
      <c r="F241" t="inlineStr">
        <is>
          <t>JÖNKÖPINGS LÄN</t>
        </is>
      </c>
      <c r="G241" t="inlineStr">
        <is>
          <t>ANEBY</t>
        </is>
      </c>
      <c r="I241" t="n">
        <v>2.7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33051-2023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45126</v>
      </c>
      <c r="E242" s="1" t="n">
        <v>46317</v>
      </c>
      <c r="F242" t="inlineStr">
        <is>
          <t>JÖNKÖPINGS LÄN</t>
        </is>
      </c>
      <c r="G242" t="inlineStr">
        <is>
          <t>ANEBY</t>
        </is>
      </c>
      <c r="I242" t="n">
        <v>0.7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12714-2023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45000</v>
      </c>
      <c r="E243" s="1" t="n">
        <v>46317</v>
      </c>
      <c r="F243" t="inlineStr">
        <is>
          <t>JÖNKÖPINGS LÄN</t>
        </is>
      </c>
      <c r="G243" t="inlineStr">
        <is>
          <t>ANEBY</t>
        </is>
      </c>
      <c r="I243" t="n">
        <v>2.1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9066-2024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45357</v>
      </c>
      <c r="E244" s="1" t="n">
        <v>46317</v>
      </c>
      <c r="F244" t="inlineStr">
        <is>
          <t>JÖNKÖPINGS LÄN</t>
        </is>
      </c>
      <c r="G244" t="inlineStr">
        <is>
          <t>ANEBY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21812-2023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45068</v>
      </c>
      <c r="E245" s="1" t="n">
        <v>46317</v>
      </c>
      <c r="F245" t="inlineStr">
        <is>
          <t>JÖNKÖPINGS LÄN</t>
        </is>
      </c>
      <c r="G245" t="inlineStr">
        <is>
          <t>ANEBY</t>
        </is>
      </c>
      <c r="I245" t="n">
        <v>3.1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24783-2023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45084</v>
      </c>
      <c r="E246" s="1" t="n">
        <v>46317</v>
      </c>
      <c r="F246" t="inlineStr">
        <is>
          <t>JÖNKÖPINGS LÄN</t>
        </is>
      </c>
      <c r="G246" t="inlineStr">
        <is>
          <t>ANEBY</t>
        </is>
      </c>
      <c r="I246" t="n">
        <v>1.1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21356-2026</t>
        </is>
      </c>
      <c r="B247" t="inlineStr">
        <is>
          <t>avverkningsanmälan</t>
        </is>
      </c>
      <c r="C247" t="inlineStr">
        <is>
          <t>Avverkning för att bevara och utveckla /försöksver</t>
        </is>
      </c>
      <c r="D247" s="1" t="n">
        <v>46147</v>
      </c>
      <c r="E247" s="1" t="n">
        <v>46317</v>
      </c>
      <c r="F247" t="inlineStr">
        <is>
          <t>JÖNKÖPINGS LÄN</t>
        </is>
      </c>
      <c r="G247" t="inlineStr">
        <is>
          <t>ANEBY</t>
        </is>
      </c>
      <c r="I247" t="n">
        <v>2.1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54095-2024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45616</v>
      </c>
      <c r="E248" s="1" t="n">
        <v>46317</v>
      </c>
      <c r="F248" t="inlineStr">
        <is>
          <t>JÖNKÖPINGS LÄN</t>
        </is>
      </c>
      <c r="G248" t="inlineStr">
        <is>
          <t>ANEBY</t>
        </is>
      </c>
      <c r="I248" t="n">
        <v>2.4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3189-2024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45316</v>
      </c>
      <c r="E249" s="1" t="n">
        <v>46317</v>
      </c>
      <c r="F249" t="inlineStr">
        <is>
          <t>JÖNKÖPINGS LÄN</t>
        </is>
      </c>
      <c r="G249" t="inlineStr">
        <is>
          <t>ANEBY</t>
        </is>
      </c>
      <c r="I249" t="n">
        <v>2.5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52790-2024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45610</v>
      </c>
      <c r="E250" s="1" t="n">
        <v>46317</v>
      </c>
      <c r="F250" t="inlineStr">
        <is>
          <t>JÖNKÖPINGS LÄN</t>
        </is>
      </c>
      <c r="G250" t="inlineStr">
        <is>
          <t>ANEBY</t>
        </is>
      </c>
      <c r="I250" t="n">
        <v>1.1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10155-2024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45364</v>
      </c>
      <c r="E251" s="1" t="n">
        <v>46317</v>
      </c>
      <c r="F251" t="inlineStr">
        <is>
          <t>JÖNKÖPINGS LÄN</t>
        </is>
      </c>
      <c r="G251" t="inlineStr">
        <is>
          <t>ANEBY</t>
        </is>
      </c>
      <c r="I251" t="n">
        <v>1.5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11353-2024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45372</v>
      </c>
      <c r="E252" s="1" t="n">
        <v>46317</v>
      </c>
      <c r="F252" t="inlineStr">
        <is>
          <t>JÖNKÖPINGS LÄN</t>
        </is>
      </c>
      <c r="G252" t="inlineStr">
        <is>
          <t>ANEBY</t>
        </is>
      </c>
      <c r="I252" t="n">
        <v>1.1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11369-2024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45372</v>
      </c>
      <c r="E253" s="1" t="n">
        <v>46317</v>
      </c>
      <c r="F253" t="inlineStr">
        <is>
          <t>JÖNKÖPINGS LÄN</t>
        </is>
      </c>
      <c r="G253" t="inlineStr">
        <is>
          <t>ANEBY</t>
        </is>
      </c>
      <c r="I253" t="n">
        <v>3.8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759-2025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45665</v>
      </c>
      <c r="E254" s="1" t="n">
        <v>46317</v>
      </c>
      <c r="F254" t="inlineStr">
        <is>
          <t>JÖNKÖPINGS LÄN</t>
        </is>
      </c>
      <c r="G254" t="inlineStr">
        <is>
          <t>ANEBY</t>
        </is>
      </c>
      <c r="H254" t="inlineStr">
        <is>
          <t>Sveaskog</t>
        </is>
      </c>
      <c r="I254" t="n">
        <v>0.9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56804-2025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45978</v>
      </c>
      <c r="E255" s="1" t="n">
        <v>46317</v>
      </c>
      <c r="F255" t="inlineStr">
        <is>
          <t>JÖNKÖPINGS LÄN</t>
        </is>
      </c>
      <c r="G255" t="inlineStr">
        <is>
          <t>ANEBY</t>
        </is>
      </c>
      <c r="I255" t="n">
        <v>2.2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46783-2023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45198</v>
      </c>
      <c r="E256" s="1" t="n">
        <v>46317</v>
      </c>
      <c r="F256" t="inlineStr">
        <is>
          <t>JÖNKÖPINGS LÄN</t>
        </is>
      </c>
      <c r="G256" t="inlineStr">
        <is>
          <t>ANEBY</t>
        </is>
      </c>
      <c r="H256" t="inlineStr">
        <is>
          <t>Sveaskog</t>
        </is>
      </c>
      <c r="I256" t="n">
        <v>1.6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21353-2022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44705</v>
      </c>
      <c r="E257" s="1" t="n">
        <v>46317</v>
      </c>
      <c r="F257" t="inlineStr">
        <is>
          <t>JÖNKÖPINGS LÄN</t>
        </is>
      </c>
      <c r="G257" t="inlineStr">
        <is>
          <t>ANEBY</t>
        </is>
      </c>
      <c r="I257" t="n">
        <v>1.2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35420-2023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45146</v>
      </c>
      <c r="E258" s="1" t="n">
        <v>46317</v>
      </c>
      <c r="F258" t="inlineStr">
        <is>
          <t>JÖNKÖPINGS LÄN</t>
        </is>
      </c>
      <c r="G258" t="inlineStr">
        <is>
          <t>ANEBY</t>
        </is>
      </c>
      <c r="I258" t="n">
        <v>1.1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17380-2022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44678</v>
      </c>
      <c r="E259" s="1" t="n">
        <v>46317</v>
      </c>
      <c r="F259" t="inlineStr">
        <is>
          <t>JÖNKÖPINGS LÄN</t>
        </is>
      </c>
      <c r="G259" t="inlineStr">
        <is>
          <t>ANEBY</t>
        </is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10463-2022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44623</v>
      </c>
      <c r="E260" s="1" t="n">
        <v>46317</v>
      </c>
      <c r="F260" t="inlineStr">
        <is>
          <t>JÖNKÖPINGS LÄN</t>
        </is>
      </c>
      <c r="G260" t="inlineStr">
        <is>
          <t>ANEBY</t>
        </is>
      </c>
      <c r="I260" t="n">
        <v>1.5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15835-2024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45404</v>
      </c>
      <c r="E261" s="1" t="n">
        <v>46317</v>
      </c>
      <c r="F261" t="inlineStr">
        <is>
          <t>JÖNKÖPINGS LÄN</t>
        </is>
      </c>
      <c r="G261" t="inlineStr">
        <is>
          <t>ANEBY</t>
        </is>
      </c>
      <c r="I261" t="n">
        <v>1.4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46780-2023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45198</v>
      </c>
      <c r="E262" s="1" t="n">
        <v>46317</v>
      </c>
      <c r="F262" t="inlineStr">
        <is>
          <t>JÖNKÖPINGS LÄN</t>
        </is>
      </c>
      <c r="G262" t="inlineStr">
        <is>
          <t>ANEBY</t>
        </is>
      </c>
      <c r="H262" t="inlineStr">
        <is>
          <t>Sveaskog</t>
        </is>
      </c>
      <c r="I262" t="n">
        <v>2.9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20767-2022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44700</v>
      </c>
      <c r="E263" s="1" t="n">
        <v>46317</v>
      </c>
      <c r="F263" t="inlineStr">
        <is>
          <t>JÖNKÖPINGS LÄN</t>
        </is>
      </c>
      <c r="G263" t="inlineStr">
        <is>
          <t>ANEBY</t>
        </is>
      </c>
      <c r="I263" t="n">
        <v>1.1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16506-2022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44671</v>
      </c>
      <c r="E264" s="1" t="n">
        <v>46317</v>
      </c>
      <c r="F264" t="inlineStr">
        <is>
          <t>JÖNKÖPINGS LÄN</t>
        </is>
      </c>
      <c r="G264" t="inlineStr">
        <is>
          <t>ANEBY</t>
        </is>
      </c>
      <c r="H264" t="inlineStr">
        <is>
          <t>Kyrkan</t>
        </is>
      </c>
      <c r="I264" t="n">
        <v>1.4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24447-2026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46170</v>
      </c>
      <c r="E265" s="1" t="n">
        <v>46317</v>
      </c>
      <c r="F265" t="inlineStr">
        <is>
          <t>JÖNKÖPINGS LÄN</t>
        </is>
      </c>
      <c r="G265" t="inlineStr">
        <is>
          <t>ANEBY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26769-2022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44739</v>
      </c>
      <c r="E266" s="1" t="n">
        <v>46317</v>
      </c>
      <c r="F266" t="inlineStr">
        <is>
          <t>JÖNKÖPINGS LÄN</t>
        </is>
      </c>
      <c r="G266" t="inlineStr">
        <is>
          <t>ANEBY</t>
        </is>
      </c>
      <c r="I266" t="n">
        <v>2.2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23557-2022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44721</v>
      </c>
      <c r="E267" s="1" t="n">
        <v>46317</v>
      </c>
      <c r="F267" t="inlineStr">
        <is>
          <t>JÖNKÖPINGS LÄN</t>
        </is>
      </c>
      <c r="G267" t="inlineStr">
        <is>
          <t>ANEBY</t>
        </is>
      </c>
      <c r="I267" t="n">
        <v>2.2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24672-2026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46171</v>
      </c>
      <c r="E268" s="1" t="n">
        <v>46317</v>
      </c>
      <c r="F268" t="inlineStr">
        <is>
          <t>JÖNKÖPINGS LÄN</t>
        </is>
      </c>
      <c r="G268" t="inlineStr">
        <is>
          <t>ANEBY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25897-2026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46176</v>
      </c>
      <c r="E269" s="1" t="n">
        <v>46317</v>
      </c>
      <c r="F269" t="inlineStr">
        <is>
          <t>JÖNKÖPINGS LÄN</t>
        </is>
      </c>
      <c r="G269" t="inlineStr">
        <is>
          <t>ANEBY</t>
        </is>
      </c>
      <c r="I269" t="n">
        <v>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25894-2026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46176</v>
      </c>
      <c r="E270" s="1" t="n">
        <v>46317</v>
      </c>
      <c r="F270" t="inlineStr">
        <is>
          <t>JÖNKÖPINGS LÄN</t>
        </is>
      </c>
      <c r="G270" t="inlineStr">
        <is>
          <t>ANEBY</t>
        </is>
      </c>
      <c r="I270" t="n">
        <v>4.6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37683-2023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45159</v>
      </c>
      <c r="E271" s="1" t="n">
        <v>46317</v>
      </c>
      <c r="F271" t="inlineStr">
        <is>
          <t>JÖNKÖPINGS LÄN</t>
        </is>
      </c>
      <c r="G271" t="inlineStr">
        <is>
          <t>ANEBY</t>
        </is>
      </c>
      <c r="I271" t="n">
        <v>1.9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18438-2025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45762</v>
      </c>
      <c r="E272" s="1" t="n">
        <v>46317</v>
      </c>
      <c r="F272" t="inlineStr">
        <is>
          <t>JÖNKÖPINGS LÄN</t>
        </is>
      </c>
      <c r="G272" t="inlineStr">
        <is>
          <t>ANEBY</t>
        </is>
      </c>
      <c r="H272" t="inlineStr">
        <is>
          <t>Övriga Aktiebolag</t>
        </is>
      </c>
      <c r="I272" t="n">
        <v>1.2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20569-2025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45775</v>
      </c>
      <c r="E273" s="1" t="n">
        <v>46317</v>
      </c>
      <c r="F273" t="inlineStr">
        <is>
          <t>JÖNKÖPINGS LÄN</t>
        </is>
      </c>
      <c r="G273" t="inlineStr">
        <is>
          <t>ANEBY</t>
        </is>
      </c>
      <c r="H273" t="inlineStr">
        <is>
          <t>Kyrkan</t>
        </is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701-2024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45300</v>
      </c>
      <c r="E274" s="1" t="n">
        <v>46317</v>
      </c>
      <c r="F274" t="inlineStr">
        <is>
          <t>JÖNKÖPINGS LÄN</t>
        </is>
      </c>
      <c r="G274" t="inlineStr">
        <is>
          <t>ANEBY</t>
        </is>
      </c>
      <c r="I274" t="n">
        <v>1.7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19362-2025</t>
        </is>
      </c>
      <c r="B275" t="inlineStr">
        <is>
          <t>avverkningsanmälan</t>
        </is>
      </c>
      <c r="C275" t="inlineStr">
        <is>
          <t>Avverkning för annat ändamål</t>
        </is>
      </c>
      <c r="D275" s="1" t="n">
        <v>45769</v>
      </c>
      <c r="E275" s="1" t="n">
        <v>46317</v>
      </c>
      <c r="F275" t="inlineStr">
        <is>
          <t>JÖNKÖPINGS LÄN</t>
        </is>
      </c>
      <c r="G275" t="inlineStr">
        <is>
          <t>ANEBY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1474-2024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45304</v>
      </c>
      <c r="E276" s="1" t="n">
        <v>46317</v>
      </c>
      <c r="F276" t="inlineStr">
        <is>
          <t>JÖNKÖPINGS LÄN</t>
        </is>
      </c>
      <c r="G276" t="inlineStr">
        <is>
          <t>ANEBY</t>
        </is>
      </c>
      <c r="I276" t="n">
        <v>1.5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27136-2026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46184</v>
      </c>
      <c r="E277" s="1" t="n">
        <v>46317</v>
      </c>
      <c r="F277" t="inlineStr">
        <is>
          <t>JÖNKÖPINGS LÄN</t>
        </is>
      </c>
      <c r="G277" t="inlineStr">
        <is>
          <t>ANEBY</t>
        </is>
      </c>
      <c r="H277" t="inlineStr">
        <is>
          <t>Övriga Aktiebolag</t>
        </is>
      </c>
      <c r="I277" t="n">
        <v>1.8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27528-2026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46185</v>
      </c>
      <c r="E278" s="1" t="n">
        <v>46317</v>
      </c>
      <c r="F278" t="inlineStr">
        <is>
          <t>JÖNKÖPINGS LÄN</t>
        </is>
      </c>
      <c r="G278" t="inlineStr">
        <is>
          <t>ANEBY</t>
        </is>
      </c>
      <c r="H278" t="inlineStr">
        <is>
          <t>Övriga Aktiebolag</t>
        </is>
      </c>
      <c r="I278" t="n">
        <v>4.8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27526-2026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46185</v>
      </c>
      <c r="E279" s="1" t="n">
        <v>46317</v>
      </c>
      <c r="F279" t="inlineStr">
        <is>
          <t>JÖNKÖPINGS LÄN</t>
        </is>
      </c>
      <c r="G279" t="inlineStr">
        <is>
          <t>ANEBY</t>
        </is>
      </c>
      <c r="H279" t="inlineStr">
        <is>
          <t>Övriga Aktiebolag</t>
        </is>
      </c>
      <c r="I279" t="n">
        <v>4.8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27527-2026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46185</v>
      </c>
      <c r="E280" s="1" t="n">
        <v>46317</v>
      </c>
      <c r="F280" t="inlineStr">
        <is>
          <t>JÖNKÖPINGS LÄN</t>
        </is>
      </c>
      <c r="G280" t="inlineStr">
        <is>
          <t>ANEBY</t>
        </is>
      </c>
      <c r="H280" t="inlineStr">
        <is>
          <t>Övriga Aktiebolag</t>
        </is>
      </c>
      <c r="I280" t="n">
        <v>4.5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10354-2024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45365</v>
      </c>
      <c r="E281" s="1" t="n">
        <v>46317</v>
      </c>
      <c r="F281" t="inlineStr">
        <is>
          <t>JÖNKÖPINGS LÄN</t>
        </is>
      </c>
      <c r="G281" t="inlineStr">
        <is>
          <t>ANEBY</t>
        </is>
      </c>
      <c r="H281" t="inlineStr">
        <is>
          <t>Sveaskog</t>
        </is>
      </c>
      <c r="I281" t="n">
        <v>3.3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18552-2025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45763</v>
      </c>
      <c r="E282" s="1" t="n">
        <v>46317</v>
      </c>
      <c r="F282" t="inlineStr">
        <is>
          <t>JÖNKÖPINGS LÄN</t>
        </is>
      </c>
      <c r="G282" t="inlineStr">
        <is>
          <t>ANEBY</t>
        </is>
      </c>
      <c r="H282" t="inlineStr">
        <is>
          <t>Övriga Aktiebolag</t>
        </is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46095-2022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44847</v>
      </c>
      <c r="E283" s="1" t="n">
        <v>46317</v>
      </c>
      <c r="F283" t="inlineStr">
        <is>
          <t>JÖNKÖPINGS LÄN</t>
        </is>
      </c>
      <c r="G283" t="inlineStr">
        <is>
          <t>ANEBY</t>
        </is>
      </c>
      <c r="I283" t="n">
        <v>2.9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27357-2026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46184</v>
      </c>
      <c r="E284" s="1" t="n">
        <v>46317</v>
      </c>
      <c r="F284" t="inlineStr">
        <is>
          <t>JÖNKÖPINGS LÄN</t>
        </is>
      </c>
      <c r="G284" t="inlineStr">
        <is>
          <t>ANEBY</t>
        </is>
      </c>
      <c r="H284" t="inlineStr">
        <is>
          <t>Övriga Aktiebolag</t>
        </is>
      </c>
      <c r="I284" t="n">
        <v>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27356-2026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46184</v>
      </c>
      <c r="E285" s="1" t="n">
        <v>46317</v>
      </c>
      <c r="F285" t="inlineStr">
        <is>
          <t>JÖNKÖPINGS LÄN</t>
        </is>
      </c>
      <c r="G285" t="inlineStr">
        <is>
          <t>ANEBY</t>
        </is>
      </c>
      <c r="I285" t="n">
        <v>17.9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27994-2026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46195</v>
      </c>
      <c r="E286" s="1" t="n">
        <v>46317</v>
      </c>
      <c r="F286" t="inlineStr">
        <is>
          <t>JÖNKÖPINGS LÄN</t>
        </is>
      </c>
      <c r="G286" t="inlineStr">
        <is>
          <t>ANEBY</t>
        </is>
      </c>
      <c r="H286" t="inlineStr">
        <is>
          <t>Kyrkan</t>
        </is>
      </c>
      <c r="I286" t="n">
        <v>1.9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27997-2026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46195</v>
      </c>
      <c r="E287" s="1" t="n">
        <v>46317</v>
      </c>
      <c r="F287" t="inlineStr">
        <is>
          <t>JÖNKÖPINGS LÄN</t>
        </is>
      </c>
      <c r="G287" t="inlineStr">
        <is>
          <t>ANEBY</t>
        </is>
      </c>
      <c r="H287" t="inlineStr">
        <is>
          <t>Kyrkan</t>
        </is>
      </c>
      <c r="I287" t="n">
        <v>0.7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14323-2024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45393</v>
      </c>
      <c r="E288" s="1" t="n">
        <v>46317</v>
      </c>
      <c r="F288" t="inlineStr">
        <is>
          <t>JÖNKÖPINGS LÄN</t>
        </is>
      </c>
      <c r="G288" t="inlineStr">
        <is>
          <t>ANEBY</t>
        </is>
      </c>
      <c r="I288" t="n">
        <v>0.6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10355-2024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45365</v>
      </c>
      <c r="E289" s="1" t="n">
        <v>46317</v>
      </c>
      <c r="F289" t="inlineStr">
        <is>
          <t>JÖNKÖPINGS LÄN</t>
        </is>
      </c>
      <c r="G289" t="inlineStr">
        <is>
          <t>ANEBY</t>
        </is>
      </c>
      <c r="H289" t="inlineStr">
        <is>
          <t>Sveaskog</t>
        </is>
      </c>
      <c r="I289" t="n">
        <v>2.3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10357-2024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45365</v>
      </c>
      <c r="E290" s="1" t="n">
        <v>46317</v>
      </c>
      <c r="F290" t="inlineStr">
        <is>
          <t>JÖNKÖPINGS LÄN</t>
        </is>
      </c>
      <c r="G290" t="inlineStr">
        <is>
          <t>ANEBY</t>
        </is>
      </c>
      <c r="H290" t="inlineStr">
        <is>
          <t>Sveaskog</t>
        </is>
      </c>
      <c r="I290" t="n">
        <v>0.6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44671-2024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45574</v>
      </c>
      <c r="E291" s="1" t="n">
        <v>46317</v>
      </c>
      <c r="F291" t="inlineStr">
        <is>
          <t>JÖNKÖPINGS LÄN</t>
        </is>
      </c>
      <c r="G291" t="inlineStr">
        <is>
          <t>ANEBY</t>
        </is>
      </c>
      <c r="I291" t="n">
        <v>0.4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28232-2026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46196</v>
      </c>
      <c r="E292" s="1" t="n">
        <v>46317</v>
      </c>
      <c r="F292" t="inlineStr">
        <is>
          <t>JÖNKÖPINGS LÄN</t>
        </is>
      </c>
      <c r="G292" t="inlineStr">
        <is>
          <t>ANEBY</t>
        </is>
      </c>
      <c r="H292" t="inlineStr">
        <is>
          <t>Kyrkan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67414-2021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44524</v>
      </c>
      <c r="E293" s="1" t="n">
        <v>46317</v>
      </c>
      <c r="F293" t="inlineStr">
        <is>
          <t>JÖNKÖPINGS LÄN</t>
        </is>
      </c>
      <c r="G293" t="inlineStr">
        <is>
          <t>ANEBY</t>
        </is>
      </c>
      <c r="I293" t="n">
        <v>2.2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395-2022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44565</v>
      </c>
      <c r="E294" s="1" t="n">
        <v>46317</v>
      </c>
      <c r="F294" t="inlineStr">
        <is>
          <t>JÖNKÖPINGS LÄN</t>
        </is>
      </c>
      <c r="G294" t="inlineStr">
        <is>
          <t>ANEBY</t>
        </is>
      </c>
      <c r="I294" t="n">
        <v>0.7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10017-2023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44985</v>
      </c>
      <c r="E295" s="1" t="n">
        <v>46317</v>
      </c>
      <c r="F295" t="inlineStr">
        <is>
          <t>JÖNKÖPINGS LÄN</t>
        </is>
      </c>
      <c r="G295" t="inlineStr">
        <is>
          <t>ANEBY</t>
        </is>
      </c>
      <c r="I295" t="n">
        <v>0.6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14235-2023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45009</v>
      </c>
      <c r="E296" s="1" t="n">
        <v>46317</v>
      </c>
      <c r="F296" t="inlineStr">
        <is>
          <t>JÖNKÖPINGS LÄN</t>
        </is>
      </c>
      <c r="G296" t="inlineStr">
        <is>
          <t>ANEBY</t>
        </is>
      </c>
      <c r="I296" t="n">
        <v>13.8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3933-2023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44952</v>
      </c>
      <c r="E297" s="1" t="n">
        <v>46317</v>
      </c>
      <c r="F297" t="inlineStr">
        <is>
          <t>JÖNKÖPINGS LÄN</t>
        </is>
      </c>
      <c r="G297" t="inlineStr">
        <is>
          <t>ANEBY</t>
        </is>
      </c>
      <c r="I297" t="n">
        <v>0.5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4836-2023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44957</v>
      </c>
      <c r="E298" s="1" t="n">
        <v>46317</v>
      </c>
      <c r="F298" t="inlineStr">
        <is>
          <t>JÖNKÖPINGS LÄN</t>
        </is>
      </c>
      <c r="G298" t="inlineStr">
        <is>
          <t>ANEBY</t>
        </is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35773-2023</t>
        </is>
      </c>
      <c r="B299" t="inlineStr">
        <is>
          <t>avverkningsanmälan</t>
        </is>
      </c>
      <c r="C299" t="inlineStr">
        <is>
          <t>Avverkning för annat ändamål</t>
        </is>
      </c>
      <c r="D299" s="1" t="n">
        <v>45148</v>
      </c>
      <c r="E299" s="1" t="n">
        <v>46317</v>
      </c>
      <c r="F299" t="inlineStr">
        <is>
          <t>JÖNKÖPINGS LÄN</t>
        </is>
      </c>
      <c r="G299" t="inlineStr">
        <is>
          <t>ANEBY</t>
        </is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55688-2022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44888</v>
      </c>
      <c r="E300" s="1" t="n">
        <v>46317</v>
      </c>
      <c r="F300" t="inlineStr">
        <is>
          <t>JÖNKÖPINGS LÄN</t>
        </is>
      </c>
      <c r="G300" t="inlineStr">
        <is>
          <t>ANEBY</t>
        </is>
      </c>
      <c r="I300" t="n">
        <v>1.9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9873-2024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45363</v>
      </c>
      <c r="E301" s="1" t="n">
        <v>46317</v>
      </c>
      <c r="F301" t="inlineStr">
        <is>
          <t>JÖNKÖPINGS LÄN</t>
        </is>
      </c>
      <c r="G301" t="inlineStr">
        <is>
          <t>ANEBY</t>
        </is>
      </c>
      <c r="I301" t="n">
        <v>1.5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31043-2026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46214</v>
      </c>
      <c r="E302" s="1" t="n">
        <v>46317</v>
      </c>
      <c r="F302" t="inlineStr">
        <is>
          <t>JÖNKÖPINGS LÄN</t>
        </is>
      </c>
      <c r="G302" t="inlineStr">
        <is>
          <t>ANEBY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31044-2026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46214</v>
      </c>
      <c r="E303" s="1" t="n">
        <v>46317</v>
      </c>
      <c r="F303" t="inlineStr">
        <is>
          <t>JÖNKÖPINGS LÄN</t>
        </is>
      </c>
      <c r="G303" t="inlineStr">
        <is>
          <t>ANEBY</t>
        </is>
      </c>
      <c r="I303" t="n">
        <v>1.7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31045-2026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46214</v>
      </c>
      <c r="E304" s="1" t="n">
        <v>46317</v>
      </c>
      <c r="F304" t="inlineStr">
        <is>
          <t>JÖNKÖPINGS LÄN</t>
        </is>
      </c>
      <c r="G304" t="inlineStr">
        <is>
          <t>ANEBY</t>
        </is>
      </c>
      <c r="I304" t="n">
        <v>2.7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10302-2024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45365</v>
      </c>
      <c r="E305" s="1" t="n">
        <v>46317</v>
      </c>
      <c r="F305" t="inlineStr">
        <is>
          <t>JÖNKÖPINGS LÄN</t>
        </is>
      </c>
      <c r="G305" t="inlineStr">
        <is>
          <t>ANEBY</t>
        </is>
      </c>
      <c r="H305" t="inlineStr">
        <is>
          <t>Sveaskog</t>
        </is>
      </c>
      <c r="I305" t="n">
        <v>0.7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40017-2024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45553</v>
      </c>
      <c r="E306" s="1" t="n">
        <v>46317</v>
      </c>
      <c r="F306" t="inlineStr">
        <is>
          <t>JÖNKÖPINGS LÄN</t>
        </is>
      </c>
      <c r="G306" t="inlineStr">
        <is>
          <t>ANEBY</t>
        </is>
      </c>
      <c r="I306" t="n">
        <v>3.4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703-2024</t>
        </is>
      </c>
      <c r="B307" t="inlineStr">
        <is>
          <t>avverkningsanmälan</t>
        </is>
      </c>
      <c r="C307" t="inlineStr">
        <is>
          <t>Avverkning för annat ändamål</t>
        </is>
      </c>
      <c r="D307" s="1" t="n">
        <v>45300</v>
      </c>
      <c r="E307" s="1" t="n">
        <v>46317</v>
      </c>
      <c r="F307" t="inlineStr">
        <is>
          <t>JÖNKÖPINGS LÄN</t>
        </is>
      </c>
      <c r="G307" t="inlineStr">
        <is>
          <t>ANEBY</t>
        </is>
      </c>
      <c r="I307" t="n">
        <v>0.4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43485-2023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45184</v>
      </c>
      <c r="E308" s="1" t="n">
        <v>46317</v>
      </c>
      <c r="F308" t="inlineStr">
        <is>
          <t>JÖNKÖPINGS LÄN</t>
        </is>
      </c>
      <c r="G308" t="inlineStr">
        <is>
          <t>ANEBY</t>
        </is>
      </c>
      <c r="I308" t="n">
        <v>3.4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31624-2026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46224</v>
      </c>
      <c r="E309" s="1" t="n">
        <v>46317</v>
      </c>
      <c r="F309" t="inlineStr">
        <is>
          <t>JÖNKÖPINGS LÄN</t>
        </is>
      </c>
      <c r="G309" t="inlineStr">
        <is>
          <t>ANEBY</t>
        </is>
      </c>
      <c r="I309" t="n">
        <v>8.699999999999999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11346-2024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45372</v>
      </c>
      <c r="E310" s="1" t="n">
        <v>46317</v>
      </c>
      <c r="F310" t="inlineStr">
        <is>
          <t>JÖNKÖPINGS LÄN</t>
        </is>
      </c>
      <c r="G310" t="inlineStr">
        <is>
          <t>ANEBY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9917-2022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44620</v>
      </c>
      <c r="E311" s="1" t="n">
        <v>46317</v>
      </c>
      <c r="F311" t="inlineStr">
        <is>
          <t>JÖNKÖPINGS LÄN</t>
        </is>
      </c>
      <c r="G311" t="inlineStr">
        <is>
          <t>ANEBY</t>
        </is>
      </c>
      <c r="I311" t="n">
        <v>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10013-2023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44985</v>
      </c>
      <c r="E312" s="1" t="n">
        <v>46317</v>
      </c>
      <c r="F312" t="inlineStr">
        <is>
          <t>JÖNKÖPINGS LÄN</t>
        </is>
      </c>
      <c r="G312" t="inlineStr">
        <is>
          <t>ANEBY</t>
        </is>
      </c>
      <c r="I312" t="n">
        <v>0.6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10456-2023</t>
        </is>
      </c>
      <c r="B313" t="inlineStr">
        <is>
          <t>avverkningsanmälan</t>
        </is>
      </c>
      <c r="C313" t="inlineStr">
        <is>
          <t>Avverkning för annat ändamål</t>
        </is>
      </c>
      <c r="D313" s="1" t="n">
        <v>44981</v>
      </c>
      <c r="E313" s="1" t="n">
        <v>46317</v>
      </c>
      <c r="F313" t="inlineStr">
        <is>
          <t>JÖNKÖPINGS LÄN</t>
        </is>
      </c>
      <c r="G313" t="inlineStr">
        <is>
          <t>ANEBY</t>
        </is>
      </c>
      <c r="H313" t="inlineStr">
        <is>
          <t>Övriga Aktiebolag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750-2025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45665</v>
      </c>
      <c r="E314" s="1" t="n">
        <v>46317</v>
      </c>
      <c r="F314" t="inlineStr">
        <is>
          <t>JÖNKÖPINGS LÄN</t>
        </is>
      </c>
      <c r="G314" t="inlineStr">
        <is>
          <t>ANEBY</t>
        </is>
      </c>
      <c r="H314" t="inlineStr">
        <is>
          <t>Sveaskog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38691-2026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46283</v>
      </c>
      <c r="E315" s="1" t="n">
        <v>46317</v>
      </c>
      <c r="F315" t="inlineStr">
        <is>
          <t>JÖNKÖPINGS LÄN</t>
        </is>
      </c>
      <c r="G315" t="inlineStr">
        <is>
          <t>ANEBY</t>
        </is>
      </c>
      <c r="I315" t="n">
        <v>3.4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38902-2026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46286</v>
      </c>
      <c r="E316" s="1" t="n">
        <v>46317</v>
      </c>
      <c r="F316" t="inlineStr">
        <is>
          <t>JÖNKÖPINGS LÄN</t>
        </is>
      </c>
      <c r="G316" t="inlineStr">
        <is>
          <t>ANEBY</t>
        </is>
      </c>
      <c r="I316" t="n">
        <v>1.4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38905-2026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46286</v>
      </c>
      <c r="E317" s="1" t="n">
        <v>46317</v>
      </c>
      <c r="F317" t="inlineStr">
        <is>
          <t>JÖNKÖPINGS LÄN</t>
        </is>
      </c>
      <c r="G317" t="inlineStr">
        <is>
          <t>ANEBY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9540-2024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45359</v>
      </c>
      <c r="E318" s="1" t="n">
        <v>46317</v>
      </c>
      <c r="F318" t="inlineStr">
        <is>
          <t>JÖNKÖPINGS LÄN</t>
        </is>
      </c>
      <c r="G318" t="inlineStr">
        <is>
          <t>ANEBY</t>
        </is>
      </c>
      <c r="I318" t="n">
        <v>4.3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35417-2023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45146</v>
      </c>
      <c r="E319" s="1" t="n">
        <v>46317</v>
      </c>
      <c r="F319" t="inlineStr">
        <is>
          <t>JÖNKÖPINGS LÄN</t>
        </is>
      </c>
      <c r="G319" t="inlineStr">
        <is>
          <t>ANEBY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9880-2024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45363</v>
      </c>
      <c r="E320" s="1" t="n">
        <v>46317</v>
      </c>
      <c r="F320" t="inlineStr">
        <is>
          <t>JÖNKÖPINGS LÄN</t>
        </is>
      </c>
      <c r="G320" t="inlineStr">
        <is>
          <t>ANEBY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12238-2024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45378</v>
      </c>
      <c r="E321" s="1" t="n">
        <v>46317</v>
      </c>
      <c r="F321" t="inlineStr">
        <is>
          <t>JÖNKÖPINGS LÄN</t>
        </is>
      </c>
      <c r="G321" t="inlineStr">
        <is>
          <t>ANEBY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16960-2023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45033</v>
      </c>
      <c r="E322" s="1" t="n">
        <v>46317</v>
      </c>
      <c r="F322" t="inlineStr">
        <is>
          <t>JÖNKÖPINGS LÄN</t>
        </is>
      </c>
      <c r="G322" t="inlineStr">
        <is>
          <t>ANEBY</t>
        </is>
      </c>
      <c r="I322" t="n">
        <v>3.2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8811-2023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44978</v>
      </c>
      <c r="E323" s="1" t="n">
        <v>46317</v>
      </c>
      <c r="F323" t="inlineStr">
        <is>
          <t>JÖNKÖPINGS LÄN</t>
        </is>
      </c>
      <c r="G323" t="inlineStr">
        <is>
          <t>ANEBY</t>
        </is>
      </c>
      <c r="I323" t="n">
        <v>3.9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17082-2024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45412</v>
      </c>
      <c r="E324" s="1" t="n">
        <v>46317</v>
      </c>
      <c r="F324" t="inlineStr">
        <is>
          <t>JÖNKÖPINGS LÄN</t>
        </is>
      </c>
      <c r="G324" t="inlineStr">
        <is>
          <t>ANEBY</t>
        </is>
      </c>
      <c r="I324" t="n">
        <v>4.4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27613-2023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45097</v>
      </c>
      <c r="E325" s="1" t="n">
        <v>46317</v>
      </c>
      <c r="F325" t="inlineStr">
        <is>
          <t>JÖNKÖPINGS LÄN</t>
        </is>
      </c>
      <c r="G325" t="inlineStr">
        <is>
          <t>ANEBY</t>
        </is>
      </c>
      <c r="I325" t="n">
        <v>3.6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10360-2024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45365</v>
      </c>
      <c r="E326" s="1" t="n">
        <v>46317</v>
      </c>
      <c r="F326" t="inlineStr">
        <is>
          <t>JÖNKÖPINGS LÄN</t>
        </is>
      </c>
      <c r="G326" t="inlineStr">
        <is>
          <t>ANEBY</t>
        </is>
      </c>
      <c r="H326" t="inlineStr">
        <is>
          <t>Sveaskog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16679-2024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45408</v>
      </c>
      <c r="E327" s="1" t="n">
        <v>46317</v>
      </c>
      <c r="F327" t="inlineStr">
        <is>
          <t>JÖNKÖPINGS LÄN</t>
        </is>
      </c>
      <c r="G327" t="inlineStr">
        <is>
          <t>ANEBY</t>
        </is>
      </c>
      <c r="I327" t="n">
        <v>1.7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23712-2023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45077</v>
      </c>
      <c r="E328" s="1" t="n">
        <v>46317</v>
      </c>
      <c r="F328" t="inlineStr">
        <is>
          <t>JÖNKÖPINGS LÄN</t>
        </is>
      </c>
      <c r="G328" t="inlineStr">
        <is>
          <t>ANEBY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36690-2024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45537</v>
      </c>
      <c r="E329" s="1" t="n">
        <v>46317</v>
      </c>
      <c r="F329" t="inlineStr">
        <is>
          <t>JÖNKÖPINGS LÄN</t>
        </is>
      </c>
      <c r="G329" t="inlineStr">
        <is>
          <t>ANEBY</t>
        </is>
      </c>
      <c r="I329" t="n">
        <v>0.9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34378-2026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46254</v>
      </c>
      <c r="E330" s="1" t="n">
        <v>46317</v>
      </c>
      <c r="F330" t="inlineStr">
        <is>
          <t>JÖNKÖPINGS LÄN</t>
        </is>
      </c>
      <c r="G330" t="inlineStr">
        <is>
          <t>ANEBY</t>
        </is>
      </c>
      <c r="I330" t="n">
        <v>0.4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9070-2024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45357</v>
      </c>
      <c r="E331" s="1" t="n">
        <v>46317</v>
      </c>
      <c r="F331" t="inlineStr">
        <is>
          <t>JÖNKÖPINGS LÄN</t>
        </is>
      </c>
      <c r="G331" t="inlineStr">
        <is>
          <t>ANEBY</t>
        </is>
      </c>
      <c r="I331" t="n">
        <v>2.7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41236-2026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46300</v>
      </c>
      <c r="E332" s="1" t="n">
        <v>46317</v>
      </c>
      <c r="F332" t="inlineStr">
        <is>
          <t>JÖNKÖPINGS LÄN</t>
        </is>
      </c>
      <c r="G332" t="inlineStr">
        <is>
          <t>ANEBY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34379-2026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46254</v>
      </c>
      <c r="E333" s="1" t="n">
        <v>46317</v>
      </c>
      <c r="F333" t="inlineStr">
        <is>
          <t>JÖNKÖPINGS LÄN</t>
        </is>
      </c>
      <c r="G333" t="inlineStr">
        <is>
          <t>ANEBY</t>
        </is>
      </c>
      <c r="I333" t="n">
        <v>0.7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20568-2025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45775</v>
      </c>
      <c r="E334" s="1" t="n">
        <v>46317</v>
      </c>
      <c r="F334" t="inlineStr">
        <is>
          <t>JÖNKÖPINGS LÄN</t>
        </is>
      </c>
      <c r="G334" t="inlineStr">
        <is>
          <t>ANEBY</t>
        </is>
      </c>
      <c r="H334" t="inlineStr">
        <is>
          <t>Kyrkan</t>
        </is>
      </c>
      <c r="I334" t="n">
        <v>7.6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12834-2023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45001</v>
      </c>
      <c r="E335" s="1" t="n">
        <v>46317</v>
      </c>
      <c r="F335" t="inlineStr">
        <is>
          <t>JÖNKÖPINGS LÄN</t>
        </is>
      </c>
      <c r="G335" t="inlineStr">
        <is>
          <t>ANEBY</t>
        </is>
      </c>
      <c r="I335" t="n">
        <v>0.7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6305-2025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45698</v>
      </c>
      <c r="E336" s="1" t="n">
        <v>46317</v>
      </c>
      <c r="F336" t="inlineStr">
        <is>
          <t>JÖNKÖPINGS LÄN</t>
        </is>
      </c>
      <c r="G336" t="inlineStr">
        <is>
          <t>ANEBY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34850-2026</t>
        </is>
      </c>
      <c r="B337" t="inlineStr">
        <is>
          <t>avverkningsanmälan</t>
        </is>
      </c>
      <c r="C337" t="inlineStr">
        <is>
          <t>Avverkning för annat ändamål</t>
        </is>
      </c>
      <c r="D337" s="1" t="n">
        <v>46255</v>
      </c>
      <c r="E337" s="1" t="n">
        <v>46317</v>
      </c>
      <c r="F337" t="inlineStr">
        <is>
          <t>JÖNKÖPINGS LÄN</t>
        </is>
      </c>
      <c r="G337" t="inlineStr">
        <is>
          <t>ANEBY</t>
        </is>
      </c>
      <c r="H337" t="inlineStr">
        <is>
          <t>Övriga Aktiebolag</t>
        </is>
      </c>
      <c r="I337" t="n">
        <v>0.7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41731-2026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46302</v>
      </c>
      <c r="E338" s="1" t="n">
        <v>46317</v>
      </c>
      <c r="F338" t="inlineStr">
        <is>
          <t>JÖNKÖPINGS LÄN</t>
        </is>
      </c>
      <c r="G338" t="inlineStr">
        <is>
          <t>ANEBY</t>
        </is>
      </c>
      <c r="I338" t="n">
        <v>3.5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41644-2026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46302</v>
      </c>
      <c r="E339" s="1" t="n">
        <v>46317</v>
      </c>
      <c r="F339" t="inlineStr">
        <is>
          <t>JÖNKÖPINGS LÄN</t>
        </is>
      </c>
      <c r="G339" t="inlineStr">
        <is>
          <t>ANEBY</t>
        </is>
      </c>
      <c r="I339" t="n">
        <v>2.1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41648-2026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46302</v>
      </c>
      <c r="E340" s="1" t="n">
        <v>46317</v>
      </c>
      <c r="F340" t="inlineStr">
        <is>
          <t>JÖNKÖPINGS LÄN</t>
        </is>
      </c>
      <c r="G340" t="inlineStr">
        <is>
          <t>ANEBY</t>
        </is>
      </c>
      <c r="I340" t="n">
        <v>1.6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35668-2026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46265</v>
      </c>
      <c r="E341" s="1" t="n">
        <v>46317</v>
      </c>
      <c r="F341" t="inlineStr">
        <is>
          <t>JÖNKÖPINGS LÄN</t>
        </is>
      </c>
      <c r="G341" t="inlineStr">
        <is>
          <t>ANEBY</t>
        </is>
      </c>
      <c r="I341" t="n">
        <v>0.6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35671-2026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46265</v>
      </c>
      <c r="E342" s="1" t="n">
        <v>46317</v>
      </c>
      <c r="F342" t="inlineStr">
        <is>
          <t>JÖNKÖPINGS LÄN</t>
        </is>
      </c>
      <c r="G342" t="inlineStr">
        <is>
          <t>ANEBY</t>
        </is>
      </c>
      <c r="I342" t="n">
        <v>0.3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35709-2026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46265</v>
      </c>
      <c r="E343" s="1" t="n">
        <v>46317</v>
      </c>
      <c r="F343" t="inlineStr">
        <is>
          <t>JÖNKÖPINGS LÄN</t>
        </is>
      </c>
      <c r="G343" t="inlineStr">
        <is>
          <t>ANEBY</t>
        </is>
      </c>
      <c r="I343" t="n">
        <v>1.2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36053-2026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46267</v>
      </c>
      <c r="E344" s="1" t="n">
        <v>46317</v>
      </c>
      <c r="F344" t="inlineStr">
        <is>
          <t>JÖNKÖPINGS LÄN</t>
        </is>
      </c>
      <c r="G344" t="inlineStr">
        <is>
          <t>ANEBY</t>
        </is>
      </c>
      <c r="I344" t="n">
        <v>1.7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40457-2026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46294</v>
      </c>
      <c r="E345" s="1" t="n">
        <v>46317</v>
      </c>
      <c r="F345" t="inlineStr">
        <is>
          <t>JÖNKÖPINGS LÄN</t>
        </is>
      </c>
      <c r="G345" t="inlineStr">
        <is>
          <t>ANEBY</t>
        </is>
      </c>
      <c r="I345" t="n">
        <v>1.5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36925-2026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46273</v>
      </c>
      <c r="E346" s="1" t="n">
        <v>46317</v>
      </c>
      <c r="F346" t="inlineStr">
        <is>
          <t>JÖNKÖPINGS LÄN</t>
        </is>
      </c>
      <c r="G346" t="inlineStr">
        <is>
          <t>ANEBY</t>
        </is>
      </c>
      <c r="I346" t="n">
        <v>0.8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36924-2026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46273</v>
      </c>
      <c r="E347" s="1" t="n">
        <v>46317</v>
      </c>
      <c r="F347" t="inlineStr">
        <is>
          <t>JÖNKÖPINGS LÄN</t>
        </is>
      </c>
      <c r="G347" t="inlineStr">
        <is>
          <t>ANEBY</t>
        </is>
      </c>
      <c r="I347" t="n">
        <v>4.8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S 805-2022</t>
        </is>
      </c>
      <c r="B348" t="inlineStr">
        <is>
          <t>samrådsanmälan</t>
        </is>
      </c>
      <c r="C348" t="inlineStr">
        <is>
          <t>Skogsbilväg</t>
        </is>
      </c>
      <c r="D348" s="1" t="n">
        <v>44603</v>
      </c>
      <c r="E348" s="1" t="n">
        <v>46317</v>
      </c>
      <c r="F348" t="inlineStr">
        <is>
          <t>JÖNKÖPINGS LÄN</t>
        </is>
      </c>
      <c r="G348" t="inlineStr">
        <is>
          <t>ANEBY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S 5767-2022</t>
        </is>
      </c>
      <c r="B349" t="inlineStr">
        <is>
          <t>samrådsanmälan</t>
        </is>
      </c>
      <c r="C349" t="inlineStr">
        <is>
          <t>Annan skogsbruksåtgärd</t>
        </is>
      </c>
      <c r="D349" s="1" t="n">
        <v>44848</v>
      </c>
      <c r="E349" s="1" t="n">
        <v>46317</v>
      </c>
      <c r="F349" t="inlineStr">
        <is>
          <t>JÖNKÖPINGS LÄN</t>
        </is>
      </c>
      <c r="G349" t="inlineStr">
        <is>
          <t>ANEBY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S 6633-2022</t>
        </is>
      </c>
      <c r="B350" t="inlineStr">
        <is>
          <t>samrådsanmälan</t>
        </is>
      </c>
      <c r="C350" t="inlineStr">
        <is>
          <t>Askåterföring</t>
        </is>
      </c>
      <c r="D350" s="1" t="n">
        <v>44886</v>
      </c>
      <c r="E350" s="1" t="n">
        <v>46317</v>
      </c>
      <c r="F350" t="inlineStr">
        <is>
          <t>JÖNKÖPINGS LÄN</t>
        </is>
      </c>
      <c r="G350" t="inlineStr">
        <is>
          <t>ANEBY</t>
        </is>
      </c>
      <c r="I350" t="n">
        <v>4.8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S 1677-2023</t>
        </is>
      </c>
      <c r="B351" t="inlineStr">
        <is>
          <t>samrådsanmälan</t>
        </is>
      </c>
      <c r="C351" t="inlineStr">
        <is>
          <t>Askåterföring</t>
        </is>
      </c>
      <c r="D351" s="1" t="n">
        <v>45063</v>
      </c>
      <c r="E351" s="1" t="n">
        <v>46317</v>
      </c>
      <c r="F351" t="inlineStr">
        <is>
          <t>JÖNKÖPINGS LÄN</t>
        </is>
      </c>
      <c r="G351" t="inlineStr">
        <is>
          <t>ANEBY</t>
        </is>
      </c>
      <c r="I351" t="n">
        <v>8.1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S 3586-2024</t>
        </is>
      </c>
      <c r="B352" t="inlineStr">
        <is>
          <t>samrådsanmälan</t>
        </is>
      </c>
      <c r="C352" t="inlineStr">
        <is>
          <t>Annan skogsbruksåtgärd</t>
        </is>
      </c>
      <c r="D352" s="1" t="n">
        <v>45546</v>
      </c>
      <c r="E352" s="1" t="n">
        <v>46317</v>
      </c>
      <c r="F352" t="inlineStr">
        <is>
          <t>JÖNKÖPINGS LÄN</t>
        </is>
      </c>
      <c r="G352" t="inlineStr">
        <is>
          <t>ANEBY</t>
        </is>
      </c>
      <c r="I352" t="n">
        <v>0.9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S 6631-2022</t>
        </is>
      </c>
      <c r="B353" t="inlineStr">
        <is>
          <t>samrådsanmälan</t>
        </is>
      </c>
      <c r="C353" t="inlineStr">
        <is>
          <t>Askåterföring</t>
        </is>
      </c>
      <c r="D353" s="1" t="n">
        <v>44886</v>
      </c>
      <c r="E353" s="1" t="n">
        <v>46317</v>
      </c>
      <c r="F353" t="inlineStr">
        <is>
          <t>JÖNKÖPINGS LÄN</t>
        </is>
      </c>
      <c r="G353" t="inlineStr">
        <is>
          <t>ANEBY</t>
        </is>
      </c>
      <c r="I353" t="n">
        <v>9.300000000000001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S 1729-2023</t>
        </is>
      </c>
      <c r="B354" t="inlineStr">
        <is>
          <t>samrådsanmälan</t>
        </is>
      </c>
      <c r="C354" t="inlineStr">
        <is>
          <t>Askåterföring</t>
        </is>
      </c>
      <c r="D354" s="1" t="n">
        <v>45069</v>
      </c>
      <c r="E354" s="1" t="n">
        <v>46317</v>
      </c>
      <c r="F354" t="inlineStr">
        <is>
          <t>JÖNKÖPINGS LÄN</t>
        </is>
      </c>
      <c r="G354" t="inlineStr">
        <is>
          <t>ANEBY</t>
        </is>
      </c>
      <c r="I354" t="n">
        <v>16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S 2550-2023</t>
        </is>
      </c>
      <c r="B355" t="inlineStr">
        <is>
          <t>samrådsanmälan</t>
        </is>
      </c>
      <c r="C355" t="inlineStr">
        <is>
          <t>Askåterföring</t>
        </is>
      </c>
      <c r="D355" s="1" t="n">
        <v>45135</v>
      </c>
      <c r="E355" s="1" t="n">
        <v>46317</v>
      </c>
      <c r="F355" t="inlineStr">
        <is>
          <t>JÖNKÖPINGS LÄN</t>
        </is>
      </c>
      <c r="G355" t="inlineStr">
        <is>
          <t>ANEBY</t>
        </is>
      </c>
      <c r="I355" t="n">
        <v>58.3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S 6634-2022</t>
        </is>
      </c>
      <c r="B356" t="inlineStr">
        <is>
          <t>samrådsanmälan</t>
        </is>
      </c>
      <c r="C356" t="inlineStr">
        <is>
          <t>Askåterföring</t>
        </is>
      </c>
      <c r="D356" s="1" t="n">
        <v>44886</v>
      </c>
      <c r="E356" s="1" t="n">
        <v>46317</v>
      </c>
      <c r="F356" t="inlineStr">
        <is>
          <t>JÖNKÖPINGS LÄN</t>
        </is>
      </c>
      <c r="G356" t="inlineStr">
        <is>
          <t>ANEBY</t>
        </is>
      </c>
      <c r="I356" t="n">
        <v>34.3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S 6623-2022</t>
        </is>
      </c>
      <c r="B357" t="inlineStr">
        <is>
          <t>samrådsanmälan</t>
        </is>
      </c>
      <c r="C357" t="inlineStr">
        <is>
          <t>Askåterföring</t>
        </is>
      </c>
      <c r="D357" s="1" t="n">
        <v>44886</v>
      </c>
      <c r="E357" s="1" t="n">
        <v>46317</v>
      </c>
      <c r="F357" t="inlineStr">
        <is>
          <t>JÖNKÖPINGS LÄN</t>
        </is>
      </c>
      <c r="G357" t="inlineStr">
        <is>
          <t>ANEBY</t>
        </is>
      </c>
      <c r="I357" t="n">
        <v>13.8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S 469-2025</t>
        </is>
      </c>
      <c r="B358" t="inlineStr">
        <is>
          <t>samrådsanmälan</t>
        </is>
      </c>
      <c r="C358" t="inlineStr">
        <is>
          <t>Askåterföring</t>
        </is>
      </c>
      <c r="D358" s="1" t="n">
        <v>45702</v>
      </c>
      <c r="E358" s="1" t="n">
        <v>46317</v>
      </c>
      <c r="F358" t="inlineStr">
        <is>
          <t>JÖNKÖPINGS LÄN</t>
        </is>
      </c>
      <c r="G358" t="inlineStr">
        <is>
          <t>ANEBY</t>
        </is>
      </c>
      <c r="I358" t="n">
        <v>22.8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S 20-2026</t>
        </is>
      </c>
      <c r="B359" t="inlineStr">
        <is>
          <t>samrådsanmälan</t>
        </is>
      </c>
      <c r="C359" t="inlineStr">
        <is>
          <t>Annan skogsbruksåtgärd</t>
        </is>
      </c>
      <c r="D359" s="1" t="n">
        <v>46029</v>
      </c>
      <c r="E359" s="1" t="n">
        <v>46317</v>
      </c>
      <c r="F359" t="inlineStr">
        <is>
          <t>JÖNKÖPINGS LÄN</t>
        </is>
      </c>
      <c r="G359" t="inlineStr">
        <is>
          <t>ANEBY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>
      <c r="A360" t="inlineStr">
        <is>
          <t>S 1152-2026</t>
        </is>
      </c>
      <c r="B360" t="inlineStr">
        <is>
          <t>samrådsanmälan</t>
        </is>
      </c>
      <c r="C360" t="inlineStr">
        <is>
          <t>Annan skogsbruksåtgärd</t>
        </is>
      </c>
      <c r="D360" s="1" t="n">
        <v>46135</v>
      </c>
      <c r="E360" s="1" t="n">
        <v>46317</v>
      </c>
      <c r="F360" t="inlineStr">
        <is>
          <t>JÖNKÖPINGS LÄN</t>
        </is>
      </c>
      <c r="G360" t="inlineStr">
        <is>
          <t>ANEBY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2026-10-22T01:59:24Z</dcterms:created>
  <dcterms:modified xmlns:dcterms="http://purl.org/dc/terms/" xmlns:xsi="http://www.w3.org/2001/XMLSchema-instance" xsi:type="dcterms:W3CDTF">2026-10-22T01:59:24Z</dcterms:modified>
</cp:coreProperties>
</file>