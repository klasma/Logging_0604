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46283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46283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46283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46283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46283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46283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46283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46283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46283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46283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46283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46283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46283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46283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46283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60716-2025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45996</v>
      </c>
      <c r="E17" s="1" t="n">
        <v>46283</v>
      </c>
      <c r="F17" t="inlineStr">
        <is>
          <t>JÖNKÖPINGS LÄN</t>
        </is>
      </c>
      <c r="G17" t="inlineStr">
        <is>
          <t>ANEBY</t>
        </is>
      </c>
      <c r="I17" t="n">
        <v>4.8</v>
      </c>
      <c r="J17" t="n">
        <v>1</v>
      </c>
      <c r="K17" t="n">
        <v>3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Brandticka
Bronshjon
Vågbandad barkbock</t>
        </is>
      </c>
      <c r="W17">
        <f>HYPERLINK("https://klasma.github.io/Logging_0604/artfynd/A 60716-2025 artfynd.xlsx", "A 60716-2025")</f>
        <v/>
      </c>
      <c r="X17">
        <f>HYPERLINK("https://klasma.github.io/Logging_0604/kartor/A 60716-2025 karta.png", "A 60716-2025")</f>
        <v/>
      </c>
      <c r="Y17">
        <f>HYPERLINK("https://klasma.github.io/Logging_0604/kartor_geotiff/A 60716-2025 georefererad karta.tif", "A 60716-2025")</f>
        <v/>
      </c>
      <c r="Z17">
        <f>HYPERLINK("https://klasma.github.io/Logging_0604/knärot/A 60716-2025 karta knärot.png", "A 60716-2025")</f>
        <v/>
      </c>
      <c r="AA17">
        <f>HYPERLINK("https://klasma.github.io/Logging_0604/klagomål/A 60716-2025 FSC-klagomål.docx", "A 60716-2025")</f>
        <v/>
      </c>
      <c r="AB17">
        <f>HYPERLINK("https://klasma.github.io/Logging_0604/klagomålsmail/A 60716-2025 FSC-klagomål mail.docx", "A 60716-2025")</f>
        <v/>
      </c>
      <c r="AC17">
        <f>HYPERLINK("https://klasma.github.io/Logging_0604/tillsyn/A 60716-2025 tillsynsbegäran.docx", "A 60716-2025")</f>
        <v/>
      </c>
      <c r="AD17">
        <f>HYPERLINK("https://klasma.github.io/Logging_0604/tillsynsmail/A 60716-2025 tillsynsbegäran mail.docx", "A 60716-2025")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46283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46283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46283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46283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46283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46283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46283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46283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46283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46283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46283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46283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46283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HYPERLINK("https://klasma.github.io/Logging_0604/artfynd/A 51453-2021 artfynd.xlsx", "A 51453-2021")</f>
        <v/>
      </c>
      <c r="X30">
        <f>HYPERLINK("https://klasma.github.io/Logging_0604/kartor/A 51453-2021 karta.png", "A 51453-2021")</f>
        <v/>
      </c>
      <c r="Y30">
        <f>HYPERLINK("https://klasma.github.io/Logging_0604/kartor_geotiff/A 51453-2021 georefererad karta.tif", "A 51453-2021")</f>
        <v/>
      </c>
      <c r="AA30">
        <f>HYPERLINK("https://klasma.github.io/Logging_0604/klagomål/A 51453-2021 FSC-klagomål.docx", "A 51453-2021")</f>
        <v/>
      </c>
      <c r="AB30">
        <f>HYPERLINK("https://klasma.github.io/Logging_0604/klagomålsmail/A 51453-2021 FSC-klagomål mail.docx", "A 51453-2021")</f>
        <v/>
      </c>
      <c r="AC30">
        <f>HYPERLINK("https://klasma.github.io/Logging_0604/tillsyn/A 51453-2021 tillsynsbegäran.docx", "A 51453-2021")</f>
        <v/>
      </c>
      <c r="AD30">
        <f>HYPERLINK("https://klasma.github.io/Logging_0604/tillsynsmail/A 51453-2021 tillsynsbegäran mail.docx", "A 51453-2021")</f>
        <v/>
      </c>
    </row>
    <row r="31" ht="15" customHeight="1">
      <c r="A31" t="inlineStr">
        <is>
          <t>A 38338-2023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46283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HYPERLINK("https://klasma.github.io/Logging_0604/artfynd/A 38338-2023 artfynd.xlsx", "A 38338-2023")</f>
        <v/>
      </c>
      <c r="X31">
        <f>HYPERLINK("https://klasma.github.io/Logging_0604/kartor/A 38338-2023 karta.png", "A 38338-2023")</f>
        <v/>
      </c>
      <c r="Y31">
        <f>HYPERLINK("https://klasma.github.io/Logging_0604/kartor_geotiff/A 38338-2023 georefererad karta.tif", "A 38338-2023")</f>
        <v/>
      </c>
      <c r="AA31">
        <f>HYPERLINK("https://klasma.github.io/Logging_0604/klagomål/A 38338-2023 FSC-klagomål.docx", "A 38338-2023")</f>
        <v/>
      </c>
      <c r="AB31">
        <f>HYPERLINK("https://klasma.github.io/Logging_0604/klagomålsmail/A 38338-2023 FSC-klagomål mail.docx", "A 38338-2023")</f>
        <v/>
      </c>
      <c r="AC31">
        <f>HYPERLINK("https://klasma.github.io/Logging_0604/tillsyn/A 38338-2023 tillsynsbegäran.docx", "A 38338-2023")</f>
        <v/>
      </c>
      <c r="AD31">
        <f>HYPERLINK("https://klasma.github.io/Logging_0604/tillsynsmail/A 38338-2023 tillsynsbegäran mail.docx", "A 38338-2023")</f>
        <v/>
      </c>
    </row>
    <row r="32" ht="15" customHeight="1">
      <c r="A32" t="inlineStr">
        <is>
          <t>A 412-2022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46283</v>
      </c>
      <c r="F32" t="inlineStr">
        <is>
          <t>JÖNKÖPINGS LÄN</t>
        </is>
      </c>
      <c r="G32" t="inlineStr">
        <is>
          <t>ANEBY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HYPERLINK("https://klasma.github.io/Logging_0604/artfynd/A 412-2022 artfynd.xlsx", "A 412-2022")</f>
        <v/>
      </c>
      <c r="X32">
        <f>HYPERLINK("https://klasma.github.io/Logging_0604/kartor/A 412-2022 karta.png", "A 412-2022")</f>
        <v/>
      </c>
      <c r="Y32">
        <f>HYPERLINK("https://klasma.github.io/Logging_0604/kartor_geotiff/A 412-2022 georefererad karta.tif", "A 412-2022")</f>
        <v/>
      </c>
      <c r="AA32">
        <f>HYPERLINK("https://klasma.github.io/Logging_0604/klagomål/A 412-2022 FSC-klagomål.docx", "A 412-2022")</f>
        <v/>
      </c>
      <c r="AB32">
        <f>HYPERLINK("https://klasma.github.io/Logging_0604/klagomålsmail/A 412-2022 FSC-klagomål mail.docx", "A 412-2022")</f>
        <v/>
      </c>
      <c r="AC32">
        <f>HYPERLINK("https://klasma.github.io/Logging_0604/tillsyn/A 412-2022 tillsynsbegäran.docx", "A 412-2022")</f>
        <v/>
      </c>
      <c r="AD32">
        <f>HYPERLINK("https://klasma.github.io/Logging_0604/tillsynsmail/A 412-2022 tillsynsbegäran mail.docx", "A 412-2022")</f>
        <v/>
      </c>
    </row>
    <row r="33" ht="15" customHeight="1">
      <c r="A33" t="inlineStr">
        <is>
          <t>A 53251-2023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46283</v>
      </c>
      <c r="F33" t="inlineStr">
        <is>
          <t>JÖNKÖPINGS LÄN</t>
        </is>
      </c>
      <c r="G33" t="inlineStr">
        <is>
          <t>ANEBY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HYPERLINK("https://klasma.github.io/Logging_0604/artfynd/A 53251-2023 artfynd.xlsx", "A 53251-2023")</f>
        <v/>
      </c>
      <c r="X33">
        <f>HYPERLINK("https://klasma.github.io/Logging_0604/kartor/A 53251-2023 karta.png", "A 53251-2023")</f>
        <v/>
      </c>
      <c r="Y33">
        <f>HYPERLINK("https://klasma.github.io/Logging_0604/kartor_geotiff/A 53251-2023 georefererad karta.tif", "A 53251-2023")</f>
        <v/>
      </c>
      <c r="AA33">
        <f>HYPERLINK("https://klasma.github.io/Logging_0604/klagomål/A 53251-2023 FSC-klagomål.docx", "A 53251-2023")</f>
        <v/>
      </c>
      <c r="AB33">
        <f>HYPERLINK("https://klasma.github.io/Logging_0604/klagomålsmail/A 53251-2023 FSC-klagomål mail.docx", "A 53251-2023")</f>
        <v/>
      </c>
      <c r="AC33">
        <f>HYPERLINK("https://klasma.github.io/Logging_0604/tillsyn/A 53251-2023 tillsynsbegäran.docx", "A 53251-2023")</f>
        <v/>
      </c>
      <c r="AD33">
        <f>HYPERLINK("https://klasma.github.io/Logging_0604/tillsynsmail/A 53251-2023 tillsynsbegäran mail.docx", "A 53251-2023")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46283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Dofttaggsvamp</t>
        </is>
      </c>
      <c r="W34">
        <f>HYPERLINK("https://klasma.github.io/Logging_0604/artfynd/A 48560-2025 artfynd.xlsx", "A 48560-2025")</f>
        <v/>
      </c>
      <c r="X34">
        <f>HYPERLINK("https://klasma.github.io/Logging_0604/kartor/A 48560-2025 karta.png", "A 48560-2025")</f>
        <v/>
      </c>
      <c r="Y34">
        <f>HYPERLINK("https://klasma.github.io/Logging_0604/kartor_geotiff/A 48560-2025 georefererad karta.tif", "A 48560-2025")</f>
        <v/>
      </c>
      <c r="AA34">
        <f>HYPERLINK("https://klasma.github.io/Logging_0604/klagomål/A 48560-2025 FSC-klagomål.docx", "A 48560-2025")</f>
        <v/>
      </c>
      <c r="AB34">
        <f>HYPERLINK("https://klasma.github.io/Logging_0604/klagomålsmail/A 48560-2025 FSC-klagomål mail.docx", "A 48560-2025")</f>
        <v/>
      </c>
      <c r="AC34">
        <f>HYPERLINK("https://klasma.github.io/Logging_0604/tillsyn/A 48560-2025 tillsynsbegäran.docx", "A 48560-2025")</f>
        <v/>
      </c>
      <c r="AD34">
        <f>HYPERLINK("https://klasma.github.io/Logging_0604/tillsynsmail/A 48560-2025 tillsynsbegäran mail.docx", "A 48560-2025")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46283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25891-2026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46283</v>
      </c>
      <c r="F36" t="inlineStr">
        <is>
          <t>JÖNKÖPINGS LÄN</t>
        </is>
      </c>
      <c r="G36" t="inlineStr">
        <is>
          <t>ANEBY</t>
        </is>
      </c>
      <c r="I36" t="n">
        <v>5.6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Stor ängsmaskros</t>
        </is>
      </c>
      <c r="W36">
        <f>HYPERLINK("https://klasma.github.io/Logging_0604/artfynd/A 25891-2026 artfynd.xlsx", "A 25891-2026")</f>
        <v/>
      </c>
      <c r="X36">
        <f>HYPERLINK("https://klasma.github.io/Logging_0604/kartor/A 25891-2026 karta.png", "A 25891-2026")</f>
        <v/>
      </c>
      <c r="Y36">
        <f>HYPERLINK("https://klasma.github.io/Logging_0604/kartor_geotiff/A 25891-2026 georefererad karta.tif", "A 25891-2026")</f>
        <v/>
      </c>
      <c r="AA36">
        <f>HYPERLINK("https://klasma.github.io/Logging_0604/klagomål/A 25891-2026 FSC-klagomål.docx", "A 25891-2026")</f>
        <v/>
      </c>
      <c r="AB36">
        <f>HYPERLINK("https://klasma.github.io/Logging_0604/klagomålsmail/A 25891-2026 FSC-klagomål mail.docx", "A 25891-2026")</f>
        <v/>
      </c>
      <c r="AC36">
        <f>HYPERLINK("https://klasma.github.io/Logging_0604/tillsyn/A 25891-2026 tillsynsbegäran.docx", "A 25891-2026")</f>
        <v/>
      </c>
      <c r="AD36">
        <f>HYPERLINK("https://klasma.github.io/Logging_0604/tillsynsmail/A 25891-2026 tillsynsbegäran mail.docx", "A 25891-2026")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46283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26784-2022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46283</v>
      </c>
      <c r="F38" t="inlineStr">
        <is>
          <t>JÖNKÖPINGS LÄN</t>
        </is>
      </c>
      <c r="G38" t="inlineStr">
        <is>
          <t>ANEBY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Vårstarr</t>
        </is>
      </c>
      <c r="W38">
        <f>HYPERLINK("https://klasma.github.io/Logging_0604/artfynd/A 26784-2022 artfynd.xlsx", "A 26784-2022")</f>
        <v/>
      </c>
      <c r="X38">
        <f>HYPERLINK("https://klasma.github.io/Logging_0604/kartor/A 26784-2022 karta.png", "A 26784-2022")</f>
        <v/>
      </c>
      <c r="Y38">
        <f>HYPERLINK("https://klasma.github.io/Logging_0604/kartor_geotiff/A 26784-2022 georefererad karta.tif", "A 26784-2022")</f>
        <v/>
      </c>
      <c r="AA38">
        <f>HYPERLINK("https://klasma.github.io/Logging_0604/klagomål/A 26784-2022 FSC-klagomål.docx", "A 26784-2022")</f>
        <v/>
      </c>
      <c r="AB38">
        <f>HYPERLINK("https://klasma.github.io/Logging_0604/klagomålsmail/A 26784-2022 FSC-klagomål mail.docx", "A 26784-2022")</f>
        <v/>
      </c>
      <c r="AC38">
        <f>HYPERLINK("https://klasma.github.io/Logging_0604/tillsyn/A 26784-2022 tillsynsbegäran.docx", "A 26784-2022")</f>
        <v/>
      </c>
      <c r="AD38">
        <f>HYPERLINK("https://klasma.github.io/Logging_0604/tillsynsmail/A 26784-2022 tillsynsbegäran mail.docx", "A 26784-2022")</f>
        <v/>
      </c>
    </row>
    <row r="39" ht="15" customHeight="1">
      <c r="A39" t="inlineStr">
        <is>
          <t>A 36378-2026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46283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Talltita</t>
        </is>
      </c>
      <c r="W39">
        <f>HYPERLINK("https://klasma.github.io/Logging_0604/artfynd/A 36378-2026 artfynd.xlsx", "A 36378-2026")</f>
        <v/>
      </c>
      <c r="X39">
        <f>HYPERLINK("https://klasma.github.io/Logging_0604/kartor/A 36378-2026 karta.png", "A 36378-2026")</f>
        <v/>
      </c>
      <c r="Y39">
        <f>HYPERLINK("https://klasma.github.io/Logging_0604/kartor_geotiff/A 36378-2026 georefererad karta.tif", "A 36378-2026")</f>
        <v/>
      </c>
      <c r="AA39">
        <f>HYPERLINK("https://klasma.github.io/Logging_0604/klagomål/A 36378-2026 FSC-klagomål.docx", "A 36378-2026")</f>
        <v/>
      </c>
      <c r="AB39">
        <f>HYPERLINK("https://klasma.github.io/Logging_0604/klagomålsmail/A 36378-2026 FSC-klagomål mail.docx", "A 36378-2026")</f>
        <v/>
      </c>
      <c r="AC39">
        <f>HYPERLINK("https://klasma.github.io/Logging_0604/tillsyn/A 36378-2026 tillsynsbegäran.docx", "A 36378-2026")</f>
        <v/>
      </c>
      <c r="AD39">
        <f>HYPERLINK("https://klasma.github.io/Logging_0604/tillsynsmail/A 36378-2026 tillsynsbegäran mail.docx", "A 36378-2026")</f>
        <v/>
      </c>
      <c r="AE39">
        <f>HYPERLINK("https://klasma.github.io/Logging_0604/fåglar/A 36378-2026 prioriterade fågelarter.docx", "A 36378-2026")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46283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46283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46283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40897-2024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46283</v>
      </c>
      <c r="F43" t="inlineStr">
        <is>
          <t>JÖNKÖPINGS LÄN</t>
        </is>
      </c>
      <c r="G43" t="inlineStr">
        <is>
          <t>ANEBY</t>
        </is>
      </c>
      <c r="I43" t="n">
        <v>3.3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Fläckmaskros</t>
        </is>
      </c>
      <c r="W43">
        <f>HYPERLINK("https://klasma.github.io/Logging_0604/artfynd/A 40897-2024 artfynd.xlsx", "A 40897-2024")</f>
        <v/>
      </c>
      <c r="X43">
        <f>HYPERLINK("https://klasma.github.io/Logging_0604/kartor/A 40897-2024 karta.png", "A 40897-2024")</f>
        <v/>
      </c>
      <c r="Y43">
        <f>HYPERLINK("https://klasma.github.io/Logging_0604/kartor_geotiff/A 40897-2024 georefererad karta.tif", "A 40897-2024")</f>
        <v/>
      </c>
      <c r="AA43">
        <f>HYPERLINK("https://klasma.github.io/Logging_0604/klagomål/A 40897-2024 FSC-klagomål.docx", "A 40897-2024")</f>
        <v/>
      </c>
      <c r="AB43">
        <f>HYPERLINK("https://klasma.github.io/Logging_0604/klagomålsmail/A 40897-2024 FSC-klagomål mail.docx", "A 40897-2024")</f>
        <v/>
      </c>
      <c r="AC43">
        <f>HYPERLINK("https://klasma.github.io/Logging_0604/tillsyn/A 40897-2024 tillsynsbegäran.docx", "A 40897-2024")</f>
        <v/>
      </c>
      <c r="AD43">
        <f>HYPERLINK("https://klasma.github.io/Logging_0604/tillsynsmail/A 40897-2024 tillsynsbegäran mail.docx", "A 40897-2024")</f>
        <v/>
      </c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46283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46283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46283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46283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73572-2021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44550</v>
      </c>
      <c r="E48" s="1" t="n">
        <v>46283</v>
      </c>
      <c r="F48" t="inlineStr">
        <is>
          <t>JÖNKÖPINGS LÄN</t>
        </is>
      </c>
      <c r="G48" t="inlineStr">
        <is>
          <t>ANEBY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55738-2022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44888</v>
      </c>
      <c r="E49" s="1" t="n">
        <v>46283</v>
      </c>
      <c r="F49" t="inlineStr">
        <is>
          <t>JÖNKÖPINGS LÄN</t>
        </is>
      </c>
      <c r="G49" t="inlineStr">
        <is>
          <t>ANEBY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46283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46283</v>
      </c>
      <c r="F51" t="inlineStr">
        <is>
          <t>JÖNKÖPINGS LÄN</t>
        </is>
      </c>
      <c r="G51" t="inlineStr">
        <is>
          <t>ANEBY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71143-2021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46283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48312-2022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46283</v>
      </c>
      <c r="F53" t="inlineStr">
        <is>
          <t>JÖNKÖPINGS LÄN</t>
        </is>
      </c>
      <c r="G53" t="inlineStr">
        <is>
          <t>ANEBY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46283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46283</v>
      </c>
      <c r="F55" t="inlineStr">
        <is>
          <t>JÖNKÖPINGS LÄN</t>
        </is>
      </c>
      <c r="G55" t="inlineStr">
        <is>
          <t>ANEBY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44624</v>
      </c>
      <c r="E56" s="1" t="n">
        <v>46283</v>
      </c>
      <c r="F56" t="inlineStr">
        <is>
          <t>JÖNKÖPINGS LÄN</t>
        </is>
      </c>
      <c r="G56" t="inlineStr">
        <is>
          <t>ANEBY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46283</v>
      </c>
      <c r="F57" t="inlineStr">
        <is>
          <t>JÖNKÖPINGS LÄN</t>
        </is>
      </c>
      <c r="G57" t="inlineStr">
        <is>
          <t>ANEBY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41298-2022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46283</v>
      </c>
      <c r="F58" t="inlineStr">
        <is>
          <t>JÖNKÖPINGS LÄN</t>
        </is>
      </c>
      <c r="G58" t="inlineStr">
        <is>
          <t>ANEBY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46283</v>
      </c>
      <c r="F59" t="inlineStr">
        <is>
          <t>JÖNKÖPINGS LÄN</t>
        </is>
      </c>
      <c r="G59" t="inlineStr">
        <is>
          <t>ANEBY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46283</v>
      </c>
      <c r="F60" t="inlineStr">
        <is>
          <t>JÖNKÖPINGS LÄN</t>
        </is>
      </c>
      <c r="G60" t="inlineStr">
        <is>
          <t>ANEBY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46283</v>
      </c>
      <c r="F61" t="inlineStr">
        <is>
          <t>JÖNKÖPINGS LÄN</t>
        </is>
      </c>
      <c r="G61" t="inlineStr">
        <is>
          <t>ANEBY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46283</v>
      </c>
      <c r="F62" t="inlineStr">
        <is>
          <t>JÖNKÖPINGS LÄN</t>
        </is>
      </c>
      <c r="G62" t="inlineStr">
        <is>
          <t>ANEBY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46283</v>
      </c>
      <c r="F63" t="inlineStr">
        <is>
          <t>JÖNKÖPINGS LÄN</t>
        </is>
      </c>
      <c r="G63" t="inlineStr">
        <is>
          <t>ANEBY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46283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46283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44888</v>
      </c>
      <c r="E66" s="1" t="n">
        <v>46283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46283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44565</v>
      </c>
      <c r="E68" s="1" t="n">
        <v>46283</v>
      </c>
      <c r="F68" t="inlineStr">
        <is>
          <t>JÖNKÖPINGS LÄN</t>
        </is>
      </c>
      <c r="G68" t="inlineStr">
        <is>
          <t>ANEBY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46283</v>
      </c>
      <c r="F69" t="inlineStr">
        <is>
          <t>JÖNKÖPINGS LÄN</t>
        </is>
      </c>
      <c r="G69" t="inlineStr">
        <is>
          <t>ANEBY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44503</v>
      </c>
      <c r="E70" s="1" t="n">
        <v>46283</v>
      </c>
      <c r="F70" t="inlineStr">
        <is>
          <t>JÖNKÖPINGS LÄN</t>
        </is>
      </c>
      <c r="G70" t="inlineStr">
        <is>
          <t>ANEBY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16957-2023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45033</v>
      </c>
      <c r="E71" s="1" t="n">
        <v>46283</v>
      </c>
      <c r="F71" t="inlineStr">
        <is>
          <t>JÖNKÖPINGS LÄN</t>
        </is>
      </c>
      <c r="G71" t="inlineStr">
        <is>
          <t>ANEBY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19943-2025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45771</v>
      </c>
      <c r="E72" s="1" t="n">
        <v>46283</v>
      </c>
      <c r="F72" t="inlineStr">
        <is>
          <t>JÖNKÖPINGS LÄN</t>
        </is>
      </c>
      <c r="G72" t="inlineStr">
        <is>
          <t>ANEBY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46283</v>
      </c>
      <c r="F73" t="inlineStr">
        <is>
          <t>JÖNKÖPINGS LÄN</t>
        </is>
      </c>
      <c r="G73" t="inlineStr">
        <is>
          <t>ANEBY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45749</v>
      </c>
      <c r="E74" s="1" t="n">
        <v>46283</v>
      </c>
      <c r="F74" t="inlineStr">
        <is>
          <t>JÖNKÖPINGS LÄN</t>
        </is>
      </c>
      <c r="G74" t="inlineStr">
        <is>
          <t>ANEBY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46283</v>
      </c>
      <c r="F75" t="inlineStr">
        <is>
          <t>JÖNKÖPINGS LÄN</t>
        </is>
      </c>
      <c r="G75" t="inlineStr">
        <is>
          <t>ANEBY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49427-2023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45205</v>
      </c>
      <c r="E76" s="1" t="n">
        <v>46283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46283</v>
      </c>
      <c r="F77" t="inlineStr">
        <is>
          <t>JÖNKÖPINGS LÄN</t>
        </is>
      </c>
      <c r="G77" t="inlineStr">
        <is>
          <t>ANEBY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46283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45460</v>
      </c>
      <c r="E79" s="1" t="n">
        <v>46283</v>
      </c>
      <c r="F79" t="inlineStr">
        <is>
          <t>JÖNKÖPINGS LÄN</t>
        </is>
      </c>
      <c r="G79" t="inlineStr">
        <is>
          <t>ANEBY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45250</v>
      </c>
      <c r="E80" s="1" t="n">
        <v>46283</v>
      </c>
      <c r="F80" t="inlineStr">
        <is>
          <t>JÖNKÖPINGS LÄN</t>
        </is>
      </c>
      <c r="G80" t="inlineStr">
        <is>
          <t>ANEBY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46283</v>
      </c>
      <c r="F81" t="inlineStr">
        <is>
          <t>JÖNKÖPINGS LÄN</t>
        </is>
      </c>
      <c r="G81" t="inlineStr">
        <is>
          <t>ANEBY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46283</v>
      </c>
      <c r="F82" t="inlineStr">
        <is>
          <t>JÖNKÖPINGS LÄN</t>
        </is>
      </c>
      <c r="G82" t="inlineStr">
        <is>
          <t>ANEBY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45461</v>
      </c>
      <c r="E83" s="1" t="n">
        <v>46283</v>
      </c>
      <c r="F83" t="inlineStr">
        <is>
          <t>JÖNKÖPINGS LÄN</t>
        </is>
      </c>
      <c r="G83" t="inlineStr">
        <is>
          <t>ANEBY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44860</v>
      </c>
      <c r="E84" s="1" t="n">
        <v>46283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46283</v>
      </c>
      <c r="F85" t="inlineStr">
        <is>
          <t>JÖNKÖPINGS LÄN</t>
        </is>
      </c>
      <c r="G85" t="inlineStr">
        <is>
          <t>ANEBY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46283</v>
      </c>
      <c r="F86" t="inlineStr">
        <is>
          <t>JÖNKÖPINGS LÄN</t>
        </is>
      </c>
      <c r="G86" t="inlineStr">
        <is>
          <t>ANEBY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46283</v>
      </c>
      <c r="F87" t="inlineStr">
        <is>
          <t>JÖNKÖPINGS LÄN</t>
        </is>
      </c>
      <c r="G87" t="inlineStr">
        <is>
          <t>ANEBY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46283</v>
      </c>
      <c r="F88" t="inlineStr">
        <is>
          <t>JÖNKÖPINGS LÄN</t>
        </is>
      </c>
      <c r="G88" t="inlineStr">
        <is>
          <t>ANEBY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44890</v>
      </c>
      <c r="E89" s="1" t="n">
        <v>46283</v>
      </c>
      <c r="F89" t="inlineStr">
        <is>
          <t>JÖNKÖPINGS LÄN</t>
        </is>
      </c>
      <c r="G89" t="inlineStr">
        <is>
          <t>ANEBY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44890</v>
      </c>
      <c r="E90" s="1" t="n">
        <v>46283</v>
      </c>
      <c r="F90" t="inlineStr">
        <is>
          <t>JÖNKÖPINGS LÄN</t>
        </is>
      </c>
      <c r="G90" t="inlineStr">
        <is>
          <t>ANEBY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45275</v>
      </c>
      <c r="E91" s="1" t="n">
        <v>46283</v>
      </c>
      <c r="F91" t="inlineStr">
        <is>
          <t>JÖNKÖPINGS LÄN</t>
        </is>
      </c>
      <c r="G91" t="inlineStr">
        <is>
          <t>ANEBY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45467</v>
      </c>
      <c r="E92" s="1" t="n">
        <v>46283</v>
      </c>
      <c r="F92" t="inlineStr">
        <is>
          <t>JÖNKÖPINGS LÄN</t>
        </is>
      </c>
      <c r="G92" t="inlineStr">
        <is>
          <t>ANEBY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  <c r="Z92">
        <f>HYPERLINK("https://klasma.github.io/Logging_0604/knärot/A 25963-2024 karta knärot.png", "A 25963-2024")</f>
        <v/>
      </c>
      <c r="AA92">
        <f>HYPERLINK("https://klasma.github.io/Logging_0604/klagomål/A 25963-2024 FSC-klagomål.docx", "A 25963-2024")</f>
        <v/>
      </c>
      <c r="AB92">
        <f>HYPERLINK("https://klasma.github.io/Logging_0604/klagomålsmail/A 25963-2024 FSC-klagomål mail.docx", "A 25963-2024")</f>
        <v/>
      </c>
      <c r="AC92">
        <f>HYPERLINK("https://klasma.github.io/Logging_0604/tillsyn/A 25963-2024 tillsynsbegäran.docx", "A 25963-2024")</f>
        <v/>
      </c>
      <c r="AD92">
        <f>HYPERLINK("https://klasma.github.io/Logging_0604/tillsynsmail/A 25963-2024 tillsynsbegäran mail.docx", "A 25963-2024")</f>
        <v/>
      </c>
    </row>
    <row r="93" ht="15" customHeight="1">
      <c r="A93" t="inlineStr">
        <is>
          <t>A 37343-2023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45156</v>
      </c>
      <c r="E93" s="1" t="n">
        <v>46283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45454</v>
      </c>
      <c r="E94" s="1" t="n">
        <v>46283</v>
      </c>
      <c r="F94" t="inlineStr">
        <is>
          <t>JÖNKÖPINGS LÄN</t>
        </is>
      </c>
      <c r="G94" t="inlineStr">
        <is>
          <t>ANEBY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46283</v>
      </c>
      <c r="F95" t="inlineStr">
        <is>
          <t>JÖNKÖPINGS LÄN</t>
        </is>
      </c>
      <c r="G95" t="inlineStr">
        <is>
          <t>ANEBY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27714-2024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45475</v>
      </c>
      <c r="E96" s="1" t="n">
        <v>46283</v>
      </c>
      <c r="F96" t="inlineStr">
        <is>
          <t>JÖNKÖPINGS LÄN</t>
        </is>
      </c>
      <c r="G96" t="inlineStr">
        <is>
          <t>ANEBY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46283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49398-2022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46283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12477-2023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44999</v>
      </c>
      <c r="E99" s="1" t="n">
        <v>46283</v>
      </c>
      <c r="F99" t="inlineStr">
        <is>
          <t>JÖNKÖPINGS LÄN</t>
        </is>
      </c>
      <c r="G99" t="inlineStr">
        <is>
          <t>ANEBY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40563-2024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45555</v>
      </c>
      <c r="E100" s="1" t="n">
        <v>46283</v>
      </c>
      <c r="F100" t="inlineStr">
        <is>
          <t>JÖNKÖPINGS LÄN</t>
        </is>
      </c>
      <c r="G100" t="inlineStr">
        <is>
          <t>ANEBY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46064</v>
      </c>
      <c r="E101" s="1" t="n">
        <v>46283</v>
      </c>
      <c r="F101" t="inlineStr">
        <is>
          <t>JÖNKÖPINGS LÄN</t>
        </is>
      </c>
      <c r="G101" t="inlineStr">
        <is>
          <t>ANEBY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46283</v>
      </c>
      <c r="F102" t="inlineStr">
        <is>
          <t>JÖNKÖPINGS LÄN</t>
        </is>
      </c>
      <c r="G102" t="inlineStr">
        <is>
          <t>ANEBY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9193-2024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45358</v>
      </c>
      <c r="E103" s="1" t="n">
        <v>46283</v>
      </c>
      <c r="F103" t="inlineStr">
        <is>
          <t>JÖNKÖPINGS LÄN</t>
        </is>
      </c>
      <c r="G103" t="inlineStr">
        <is>
          <t>ANEBY</t>
        </is>
      </c>
      <c r="H103" t="inlineStr">
        <is>
          <t>Sveaskog</t>
        </is>
      </c>
      <c r="I103" t="n">
        <v>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46283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16.8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46076</v>
      </c>
      <c r="E105" s="1" t="n">
        <v>46283</v>
      </c>
      <c r="F105" t="inlineStr">
        <is>
          <t>JÖNKÖPINGS LÄN</t>
        </is>
      </c>
      <c r="G105" t="inlineStr">
        <is>
          <t>ANEBY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46283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46073</v>
      </c>
      <c r="E107" s="1" t="n">
        <v>46283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46283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46283</v>
      </c>
      <c r="F109" t="inlineStr">
        <is>
          <t>JÖNKÖPINGS LÄN</t>
        </is>
      </c>
      <c r="G109" t="inlineStr">
        <is>
          <t>ANEBY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45586</v>
      </c>
      <c r="E110" s="1" t="n">
        <v>46283</v>
      </c>
      <c r="F110" t="inlineStr">
        <is>
          <t>JÖNKÖPINGS LÄN</t>
        </is>
      </c>
      <c r="G110" t="inlineStr">
        <is>
          <t>ANEBY</t>
        </is>
      </c>
      <c r="H110" t="inlineStr">
        <is>
          <t>Övriga Aktiebolag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46283</v>
      </c>
      <c r="F111" t="inlineStr">
        <is>
          <t>JÖNKÖPINGS LÄN</t>
        </is>
      </c>
      <c r="G111" t="inlineStr">
        <is>
          <t>ANEBY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45838</v>
      </c>
      <c r="E112" s="1" t="n">
        <v>46283</v>
      </c>
      <c r="F112" t="inlineStr">
        <is>
          <t>JÖNKÖPINGS LÄN</t>
        </is>
      </c>
      <c r="G112" t="inlineStr">
        <is>
          <t>ANEBY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46283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46283</v>
      </c>
      <c r="F114" t="inlineStr">
        <is>
          <t>JÖNKÖPINGS LÄN</t>
        </is>
      </c>
      <c r="G114" t="inlineStr">
        <is>
          <t>ANEBY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12576-2026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46090</v>
      </c>
      <c r="E115" s="1" t="n">
        <v>46283</v>
      </c>
      <c r="F115" t="inlineStr">
        <is>
          <t>JÖNKÖPINGS LÄN</t>
        </is>
      </c>
      <c r="G115" t="inlineStr">
        <is>
          <t>ANEBY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46283</v>
      </c>
      <c r="F116" t="inlineStr">
        <is>
          <t>JÖNKÖPINGS LÄN</t>
        </is>
      </c>
      <c r="G116" t="inlineStr">
        <is>
          <t>ANEBY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46098</v>
      </c>
      <c r="E117" s="1" t="n">
        <v>46283</v>
      </c>
      <c r="F117" t="inlineStr">
        <is>
          <t>JÖNKÖPINGS LÄN</t>
        </is>
      </c>
      <c r="G117" t="inlineStr">
        <is>
          <t>ANEBY</t>
        </is>
      </c>
      <c r="H117" t="inlineStr">
        <is>
          <t>Övriga Aktiebolag</t>
        </is>
      </c>
      <c r="I117" t="n">
        <v>20.7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46283</v>
      </c>
      <c r="F118" t="inlineStr">
        <is>
          <t>JÖNKÖPINGS LÄN</t>
        </is>
      </c>
      <c r="G118" t="inlineStr">
        <is>
          <t>ANEBY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45688</v>
      </c>
      <c r="E119" s="1" t="n">
        <v>46283</v>
      </c>
      <c r="F119" t="inlineStr">
        <is>
          <t>JÖNKÖPINGS LÄN</t>
        </is>
      </c>
      <c r="G119" t="inlineStr">
        <is>
          <t>ANEBY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46283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11565-2025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45727</v>
      </c>
      <c r="E121" s="1" t="n">
        <v>46283</v>
      </c>
      <c r="F121" t="inlineStr">
        <is>
          <t>JÖNKÖPINGS LÄN</t>
        </is>
      </c>
      <c r="G121" t="inlineStr">
        <is>
          <t>ANEBY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46283</v>
      </c>
      <c r="F122" t="inlineStr">
        <is>
          <t>JÖNKÖPINGS LÄN</t>
        </is>
      </c>
      <c r="G122" t="inlineStr">
        <is>
          <t>ANEBY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46283</v>
      </c>
      <c r="F123" t="inlineStr">
        <is>
          <t>JÖNKÖPINGS LÄN</t>
        </is>
      </c>
      <c r="G123" t="inlineStr">
        <is>
          <t>ANEBY</t>
        </is>
      </c>
      <c r="H123" t="inlineStr">
        <is>
          <t>Kyrkan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46283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46104</v>
      </c>
      <c r="E125" s="1" t="n">
        <v>46283</v>
      </c>
      <c r="F125" t="inlineStr">
        <is>
          <t>JÖNKÖPINGS LÄN</t>
        </is>
      </c>
      <c r="G125" t="inlineStr">
        <is>
          <t>ANEBY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39427-2025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46283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46105</v>
      </c>
      <c r="E127" s="1" t="n">
        <v>46283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15195-2026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46283</v>
      </c>
      <c r="F128" t="inlineStr">
        <is>
          <t>JÖNKÖPINGS LÄN</t>
        </is>
      </c>
      <c r="G128" t="inlineStr">
        <is>
          <t>ANEBY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46283</v>
      </c>
      <c r="F129" t="inlineStr">
        <is>
          <t>JÖNKÖPINGS LÄN</t>
        </is>
      </c>
      <c r="G129" t="inlineStr">
        <is>
          <t>ANEBY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46104</v>
      </c>
      <c r="E130" s="1" t="n">
        <v>46283</v>
      </c>
      <c r="F130" t="inlineStr">
        <is>
          <t>JÖNKÖPINGS LÄN</t>
        </is>
      </c>
      <c r="G130" t="inlineStr">
        <is>
          <t>ANEBY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9541-2024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46283</v>
      </c>
      <c r="F131" t="inlineStr">
        <is>
          <t>JÖNKÖPINGS LÄN</t>
        </is>
      </c>
      <c r="G131" t="inlineStr">
        <is>
          <t>ANEBY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46283</v>
      </c>
      <c r="F132" t="inlineStr">
        <is>
          <t>JÖNKÖPINGS LÄN</t>
        </is>
      </c>
      <c r="G132" t="inlineStr">
        <is>
          <t>ANEBY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46283</v>
      </c>
      <c r="F133" t="inlineStr">
        <is>
          <t>JÖNKÖPINGS LÄN</t>
        </is>
      </c>
      <c r="G133" t="inlineStr">
        <is>
          <t>ANEBY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46283</v>
      </c>
      <c r="F134" t="inlineStr">
        <is>
          <t>JÖNKÖPINGS LÄN</t>
        </is>
      </c>
      <c r="G134" t="inlineStr">
        <is>
          <t>ANEBY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46283</v>
      </c>
      <c r="F135" t="inlineStr">
        <is>
          <t>JÖNKÖPINGS LÄN</t>
        </is>
      </c>
      <c r="G135" t="inlineStr">
        <is>
          <t>ANEBY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46283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46283</v>
      </c>
      <c r="F137" t="inlineStr">
        <is>
          <t>JÖNKÖPINGS LÄN</t>
        </is>
      </c>
      <c r="G137" t="inlineStr">
        <is>
          <t>ANEBY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51331-2021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46283</v>
      </c>
      <c r="F138" t="inlineStr">
        <is>
          <t>JÖNKÖPINGS LÄN</t>
        </is>
      </c>
      <c r="G138" t="inlineStr">
        <is>
          <t>ANEBY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45468</v>
      </c>
      <c r="E139" s="1" t="n">
        <v>46283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46283</v>
      </c>
      <c r="F140" t="inlineStr">
        <is>
          <t>JÖNKÖPINGS LÄN</t>
        </is>
      </c>
      <c r="G140" t="inlineStr">
        <is>
          <t>ANEBY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46125</v>
      </c>
      <c r="E141" s="1" t="n">
        <v>46283</v>
      </c>
      <c r="F141" t="inlineStr">
        <is>
          <t>JÖNKÖPINGS LÄN</t>
        </is>
      </c>
      <c r="G141" t="inlineStr">
        <is>
          <t>ANEBY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46125</v>
      </c>
      <c r="E142" s="1" t="n">
        <v>46283</v>
      </c>
      <c r="F142" t="inlineStr">
        <is>
          <t>JÖNKÖPINGS LÄN</t>
        </is>
      </c>
      <c r="G142" t="inlineStr">
        <is>
          <t>ANEBY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46283</v>
      </c>
      <c r="F143" t="inlineStr">
        <is>
          <t>JÖNKÖPINGS LÄN</t>
        </is>
      </c>
      <c r="G143" t="inlineStr">
        <is>
          <t>ANEBY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46283</v>
      </c>
      <c r="F144" t="inlineStr">
        <is>
          <t>JÖNKÖPINGS LÄN</t>
        </is>
      </c>
      <c r="G144" t="inlineStr">
        <is>
          <t>ANEBY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46126</v>
      </c>
      <c r="E145" s="1" t="n">
        <v>46283</v>
      </c>
      <c r="F145" t="inlineStr">
        <is>
          <t>JÖNKÖPINGS LÄN</t>
        </is>
      </c>
      <c r="G145" t="inlineStr">
        <is>
          <t>ANEBY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45552</v>
      </c>
      <c r="E146" s="1" t="n">
        <v>46283</v>
      </c>
      <c r="F146" t="inlineStr">
        <is>
          <t>JÖNKÖPINGS LÄN</t>
        </is>
      </c>
      <c r="G146" t="inlineStr">
        <is>
          <t>ANEBY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46283</v>
      </c>
      <c r="F147" t="inlineStr">
        <is>
          <t>JÖNKÖPINGS LÄN</t>
        </is>
      </c>
      <c r="G147" t="inlineStr">
        <is>
          <t>ANEBY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43613-2023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45184</v>
      </c>
      <c r="E148" s="1" t="n">
        <v>46283</v>
      </c>
      <c r="F148" t="inlineStr">
        <is>
          <t>JÖNKÖPINGS LÄN</t>
        </is>
      </c>
      <c r="G148" t="inlineStr">
        <is>
          <t>ANEBY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46283</v>
      </c>
      <c r="F149" t="inlineStr">
        <is>
          <t>JÖNKÖPINGS LÄN</t>
        </is>
      </c>
      <c r="G149" t="inlineStr">
        <is>
          <t>ANEBY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46283</v>
      </c>
      <c r="F150" t="inlineStr">
        <is>
          <t>JÖNKÖPINGS LÄN</t>
        </is>
      </c>
      <c r="G150" t="inlineStr">
        <is>
          <t>ANEBY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57174-2021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44482</v>
      </c>
      <c r="E151" s="1" t="n">
        <v>46283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23349-2023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45076</v>
      </c>
      <c r="E152" s="1" t="n">
        <v>46283</v>
      </c>
      <c r="F152" t="inlineStr">
        <is>
          <t>JÖNKÖPINGS LÄN</t>
        </is>
      </c>
      <c r="G152" t="inlineStr">
        <is>
          <t>ANEBY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46283</v>
      </c>
      <c r="F153" t="inlineStr">
        <is>
          <t>JÖNKÖPINGS LÄN</t>
        </is>
      </c>
      <c r="G153" t="inlineStr">
        <is>
          <t>ANEBY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46283</v>
      </c>
      <c r="F154" t="inlineStr">
        <is>
          <t>JÖNKÖPINGS LÄN</t>
        </is>
      </c>
      <c r="G154" t="inlineStr">
        <is>
          <t>ANEBY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46283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45912</v>
      </c>
      <c r="E156" s="1" t="n">
        <v>46283</v>
      </c>
      <c r="F156" t="inlineStr">
        <is>
          <t>JÖNKÖPINGS LÄN</t>
        </is>
      </c>
      <c r="G156" t="inlineStr">
        <is>
          <t>ANEBY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43528-2025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45911</v>
      </c>
      <c r="E157" s="1" t="n">
        <v>46283</v>
      </c>
      <c r="F157" t="inlineStr">
        <is>
          <t>JÖNKÖPINGS LÄN</t>
        </is>
      </c>
      <c r="G157" t="inlineStr">
        <is>
          <t>ANEBY</t>
        </is>
      </c>
      <c r="H157" t="inlineStr">
        <is>
          <t>Övriga Aktiebolag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45028</v>
      </c>
      <c r="E158" s="1" t="n">
        <v>46283</v>
      </c>
      <c r="F158" t="inlineStr">
        <is>
          <t>JÖNKÖPINGS LÄN</t>
        </is>
      </c>
      <c r="G158" t="inlineStr">
        <is>
          <t>ANEBY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45182</v>
      </c>
      <c r="E159" s="1" t="n">
        <v>46283</v>
      </c>
      <c r="F159" t="inlineStr">
        <is>
          <t>JÖNKÖPINGS LÄN</t>
        </is>
      </c>
      <c r="G159" t="inlineStr">
        <is>
          <t>ANEBY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45653</v>
      </c>
      <c r="E160" s="1" t="n">
        <v>46283</v>
      </c>
      <c r="F160" t="inlineStr">
        <is>
          <t>JÖNKÖPINGS LÄN</t>
        </is>
      </c>
      <c r="G160" t="inlineStr">
        <is>
          <t>ANEBY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46283</v>
      </c>
      <c r="F161" t="inlineStr">
        <is>
          <t>JÖNKÖPINGS LÄN</t>
        </is>
      </c>
      <c r="G161" t="inlineStr">
        <is>
          <t>ANEBY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45691</v>
      </c>
      <c r="E162" s="1" t="n">
        <v>46283</v>
      </c>
      <c r="F162" t="inlineStr">
        <is>
          <t>JÖNKÖPINGS LÄN</t>
        </is>
      </c>
      <c r="G162" t="inlineStr">
        <is>
          <t>ANEBY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46283</v>
      </c>
      <c r="F163" t="inlineStr">
        <is>
          <t>JÖNKÖPINGS LÄN</t>
        </is>
      </c>
      <c r="G163" t="inlineStr">
        <is>
          <t>ANEBY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44477</v>
      </c>
      <c r="E164" s="1" t="n">
        <v>46283</v>
      </c>
      <c r="F164" t="inlineStr">
        <is>
          <t>JÖNKÖPINGS LÄN</t>
        </is>
      </c>
      <c r="G164" t="inlineStr">
        <is>
          <t>ANEBY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16928-2023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45033</v>
      </c>
      <c r="E165" s="1" t="n">
        <v>46283</v>
      </c>
      <c r="F165" t="inlineStr">
        <is>
          <t>JÖNKÖPINGS LÄN</t>
        </is>
      </c>
      <c r="G165" t="inlineStr">
        <is>
          <t>ANEBY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46162-2025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45924</v>
      </c>
      <c r="E166" s="1" t="n">
        <v>46283</v>
      </c>
      <c r="F166" t="inlineStr">
        <is>
          <t>JÖNKÖPINGS LÄN</t>
        </is>
      </c>
      <c r="G166" t="inlineStr">
        <is>
          <t>ANEBY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46283</v>
      </c>
      <c r="F167" t="inlineStr">
        <is>
          <t>JÖNKÖPINGS LÄN</t>
        </is>
      </c>
      <c r="G167" t="inlineStr">
        <is>
          <t>ANEBY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46283</v>
      </c>
      <c r="F168" t="inlineStr">
        <is>
          <t>JÖNKÖPINGS LÄN</t>
        </is>
      </c>
      <c r="G168" t="inlineStr">
        <is>
          <t>ANEBY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44606</v>
      </c>
      <c r="E169" s="1" t="n">
        <v>46283</v>
      </c>
      <c r="F169" t="inlineStr">
        <is>
          <t>JÖNKÖPINGS LÄN</t>
        </is>
      </c>
      <c r="G169" t="inlineStr">
        <is>
          <t>ANEBY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46283</v>
      </c>
      <c r="F170" t="inlineStr">
        <is>
          <t>JÖNKÖPINGS LÄN</t>
        </is>
      </c>
      <c r="G170" t="inlineStr">
        <is>
          <t>ANEBY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23354-2023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45076</v>
      </c>
      <c r="E171" s="1" t="n">
        <v>46283</v>
      </c>
      <c r="F171" t="inlineStr">
        <is>
          <t>JÖNKÖPINGS LÄN</t>
        </is>
      </c>
      <c r="G171" t="inlineStr">
        <is>
          <t>ANEBY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46283</v>
      </c>
      <c r="F172" t="inlineStr">
        <is>
          <t>JÖNKÖPINGS LÄN</t>
        </is>
      </c>
      <c r="G172" t="inlineStr">
        <is>
          <t>ANEBY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45086</v>
      </c>
      <c r="E173" s="1" t="n">
        <v>46283</v>
      </c>
      <c r="F173" t="inlineStr">
        <is>
          <t>JÖNKÖPINGS LÄN</t>
        </is>
      </c>
      <c r="G173" t="inlineStr">
        <is>
          <t>ANEBY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54692-2023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45236</v>
      </c>
      <c r="E174" s="1" t="n">
        <v>46283</v>
      </c>
      <c r="F174" t="inlineStr">
        <is>
          <t>JÖNKÖPINGS LÄN</t>
        </is>
      </c>
      <c r="G174" t="inlineStr">
        <is>
          <t>ANEBY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21356-2026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46147</v>
      </c>
      <c r="E175" s="1" t="n">
        <v>46283</v>
      </c>
      <c r="F175" t="inlineStr">
        <is>
          <t>JÖNKÖPINGS LÄN</t>
        </is>
      </c>
      <c r="G175" t="inlineStr">
        <is>
          <t>ANEBY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44461</v>
      </c>
      <c r="E176" s="1" t="n">
        <v>46283</v>
      </c>
      <c r="F176" t="inlineStr">
        <is>
          <t>JÖNKÖPINGS LÄN</t>
        </is>
      </c>
      <c r="G176" t="inlineStr">
        <is>
          <t>ANEBY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45089</v>
      </c>
      <c r="E177" s="1" t="n">
        <v>46283</v>
      </c>
      <c r="F177" t="inlineStr">
        <is>
          <t>JÖNKÖPINGS LÄN</t>
        </is>
      </c>
      <c r="G177" t="inlineStr">
        <is>
          <t>ANEBY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45183</v>
      </c>
      <c r="E178" s="1" t="n">
        <v>46283</v>
      </c>
      <c r="F178" t="inlineStr">
        <is>
          <t>JÖNKÖPINGS LÄN</t>
        </is>
      </c>
      <c r="G178" t="inlineStr">
        <is>
          <t>ANEBY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46283</v>
      </c>
      <c r="F179" t="inlineStr">
        <is>
          <t>JÖNKÖPINGS LÄN</t>
        </is>
      </c>
      <c r="G179" t="inlineStr">
        <is>
          <t>ANEBY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46283</v>
      </c>
      <c r="F180" t="inlineStr">
        <is>
          <t>JÖNKÖPINGS LÄN</t>
        </is>
      </c>
      <c r="G180" t="inlineStr">
        <is>
          <t>ANEBY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46283</v>
      </c>
      <c r="F181" t="inlineStr">
        <is>
          <t>JÖNKÖPINGS LÄN</t>
        </is>
      </c>
      <c r="G181" t="inlineStr">
        <is>
          <t>ANEBY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45384</v>
      </c>
      <c r="E182" s="1" t="n">
        <v>46283</v>
      </c>
      <c r="F182" t="inlineStr">
        <is>
          <t>JÖNKÖPINGS LÄN</t>
        </is>
      </c>
      <c r="G182" t="inlineStr">
        <is>
          <t>ANEBY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59507-2022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44900</v>
      </c>
      <c r="E183" s="1" t="n">
        <v>46283</v>
      </c>
      <c r="F183" t="inlineStr">
        <is>
          <t>JÖNKÖPINGS LÄN</t>
        </is>
      </c>
      <c r="G183" t="inlineStr">
        <is>
          <t>ANEBY</t>
        </is>
      </c>
      <c r="H183" t="inlineStr">
        <is>
          <t>Övriga Aktiebolag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23715-2023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45077</v>
      </c>
      <c r="E184" s="1" t="n">
        <v>46283</v>
      </c>
      <c r="F184" t="inlineStr">
        <is>
          <t>JÖNKÖPINGS LÄN</t>
        </is>
      </c>
      <c r="G184" t="inlineStr">
        <is>
          <t>ANEBY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46283</v>
      </c>
      <c r="F185" t="inlineStr">
        <is>
          <t>JÖNKÖPINGS LÄN</t>
        </is>
      </c>
      <c r="G185" t="inlineStr">
        <is>
          <t>ANEBY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56735-2021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46283</v>
      </c>
      <c r="F186" t="inlineStr">
        <is>
          <t>JÖNKÖPINGS LÄN</t>
        </is>
      </c>
      <c r="G186" t="inlineStr">
        <is>
          <t>ANEBY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46283</v>
      </c>
      <c r="F187" t="inlineStr">
        <is>
          <t>JÖNKÖPINGS LÄN</t>
        </is>
      </c>
      <c r="G187" t="inlineStr">
        <is>
          <t>ANEBY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45379</v>
      </c>
      <c r="E188" s="1" t="n">
        <v>46283</v>
      </c>
      <c r="F188" t="inlineStr">
        <is>
          <t>JÖNKÖPINGS LÄN</t>
        </is>
      </c>
      <c r="G188" t="inlineStr">
        <is>
          <t>ANEBY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45122</v>
      </c>
      <c r="E189" s="1" t="n">
        <v>46283</v>
      </c>
      <c r="F189" t="inlineStr">
        <is>
          <t>JÖNKÖPINGS LÄN</t>
        </is>
      </c>
      <c r="G189" t="inlineStr">
        <is>
          <t>ANEBY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46283</v>
      </c>
      <c r="F190" t="inlineStr">
        <is>
          <t>JÖNKÖPINGS LÄN</t>
        </is>
      </c>
      <c r="G190" t="inlineStr">
        <is>
          <t>ANEBY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45198</v>
      </c>
      <c r="E191" s="1" t="n">
        <v>46283</v>
      </c>
      <c r="F191" t="inlineStr">
        <is>
          <t>JÖNKÖPINGS LÄN</t>
        </is>
      </c>
      <c r="G191" t="inlineStr">
        <is>
          <t>ANEBY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46283</v>
      </c>
      <c r="F192" t="inlineStr">
        <is>
          <t>JÖNKÖPINGS LÄN</t>
        </is>
      </c>
      <c r="G192" t="inlineStr">
        <is>
          <t>ANEBY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46283</v>
      </c>
      <c r="F193" t="inlineStr">
        <is>
          <t>JÖNKÖPINGS LÄN</t>
        </is>
      </c>
      <c r="G193" t="inlineStr">
        <is>
          <t>ANEBY</t>
        </is>
      </c>
      <c r="H193" t="inlineStr">
        <is>
          <t>Sveaskog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44959</v>
      </c>
      <c r="E194" s="1" t="n">
        <v>46283</v>
      </c>
      <c r="F194" t="inlineStr">
        <is>
          <t>JÖNKÖPINGS LÄN</t>
        </is>
      </c>
      <c r="G194" t="inlineStr">
        <is>
          <t>ANEBY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46283</v>
      </c>
      <c r="F195" t="inlineStr">
        <is>
          <t>JÖNKÖPINGS LÄN</t>
        </is>
      </c>
      <c r="G195" t="inlineStr">
        <is>
          <t>ANEBY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45304</v>
      </c>
      <c r="E196" s="1" t="n">
        <v>46283</v>
      </c>
      <c r="F196" t="inlineStr">
        <is>
          <t>JÖNKÖPINGS LÄN</t>
        </is>
      </c>
      <c r="G196" t="inlineStr">
        <is>
          <t>ANEBY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46283</v>
      </c>
      <c r="F197" t="inlineStr">
        <is>
          <t>JÖNKÖPINGS LÄN</t>
        </is>
      </c>
      <c r="G197" t="inlineStr">
        <is>
          <t>ANEBY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38794-2023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45161</v>
      </c>
      <c r="E198" s="1" t="n">
        <v>46283</v>
      </c>
      <c r="F198" t="inlineStr">
        <is>
          <t>JÖNKÖPINGS LÄN</t>
        </is>
      </c>
      <c r="G198" t="inlineStr">
        <is>
          <t>ANEBY</t>
        </is>
      </c>
      <c r="H198" t="inlineStr">
        <is>
          <t>Övriga Aktiebolag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46283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46283</v>
      </c>
      <c r="F200" t="inlineStr">
        <is>
          <t>JÖNKÖPINGS LÄN</t>
        </is>
      </c>
      <c r="G200" t="inlineStr">
        <is>
          <t>ANEBY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45468</v>
      </c>
      <c r="E201" s="1" t="n">
        <v>46283</v>
      </c>
      <c r="F201" t="inlineStr">
        <is>
          <t>JÖNKÖPINGS LÄN</t>
        </is>
      </c>
      <c r="G201" t="inlineStr">
        <is>
          <t>ANEBY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46176</v>
      </c>
      <c r="E202" s="1" t="n">
        <v>46283</v>
      </c>
      <c r="F202" t="inlineStr">
        <is>
          <t>JÖNKÖPINGS LÄN</t>
        </is>
      </c>
      <c r="G202" t="inlineStr">
        <is>
          <t>ANEBY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45707</v>
      </c>
      <c r="E203" s="1" t="n">
        <v>46283</v>
      </c>
      <c r="F203" t="inlineStr">
        <is>
          <t>JÖNKÖPINGS LÄN</t>
        </is>
      </c>
      <c r="G203" t="inlineStr">
        <is>
          <t>ANEBY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46176</v>
      </c>
      <c r="E204" s="1" t="n">
        <v>46283</v>
      </c>
      <c r="F204" t="inlineStr">
        <is>
          <t>JÖNKÖPINGS LÄN</t>
        </is>
      </c>
      <c r="G204" t="inlineStr">
        <is>
          <t>ANEBY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45552</v>
      </c>
      <c r="E205" s="1" t="n">
        <v>46283</v>
      </c>
      <c r="F205" t="inlineStr">
        <is>
          <t>JÖNKÖPINGS LÄN</t>
        </is>
      </c>
      <c r="G205" t="inlineStr">
        <is>
          <t>ANEBY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45593</v>
      </c>
      <c r="E206" s="1" t="n">
        <v>46283</v>
      </c>
      <c r="F206" t="inlineStr">
        <is>
          <t>JÖNKÖPINGS LÄN</t>
        </is>
      </c>
      <c r="G206" t="inlineStr">
        <is>
          <t>ANEBY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51160-2021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44461</v>
      </c>
      <c r="E207" s="1" t="n">
        <v>46283</v>
      </c>
      <c r="F207" t="inlineStr">
        <is>
          <t>JÖNKÖPINGS LÄN</t>
        </is>
      </c>
      <c r="G207" t="inlineStr">
        <is>
          <t>ANEBY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45126</v>
      </c>
      <c r="E208" s="1" t="n">
        <v>46283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46283</v>
      </c>
      <c r="F209" t="inlineStr">
        <is>
          <t>JÖNKÖPINGS LÄN</t>
        </is>
      </c>
      <c r="G209" t="inlineStr">
        <is>
          <t>ANEBY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50069-2024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45600</v>
      </c>
      <c r="E210" s="1" t="n">
        <v>46283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54213-2024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45616</v>
      </c>
      <c r="E211" s="1" t="n">
        <v>46283</v>
      </c>
      <c r="F211" t="inlineStr">
        <is>
          <t>JÖNKÖPINGS LÄN</t>
        </is>
      </c>
      <c r="G211" t="inlineStr">
        <is>
          <t>ANEBY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38873-2023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45161</v>
      </c>
      <c r="E212" s="1" t="n">
        <v>46283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46283</v>
      </c>
      <c r="F213" t="inlineStr">
        <is>
          <t>JÖNKÖPINGS LÄN</t>
        </is>
      </c>
      <c r="G213" t="inlineStr">
        <is>
          <t>ANEBY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46283</v>
      </c>
      <c r="F214" t="inlineStr">
        <is>
          <t>JÖNKÖPINGS LÄN</t>
        </is>
      </c>
      <c r="G214" t="inlineStr">
        <is>
          <t>ANEBY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45356</v>
      </c>
      <c r="E215" s="1" t="n">
        <v>46283</v>
      </c>
      <c r="F215" t="inlineStr">
        <is>
          <t>JÖNKÖPINGS LÄN</t>
        </is>
      </c>
      <c r="G215" t="inlineStr">
        <is>
          <t>ANEBY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46184</v>
      </c>
      <c r="E216" s="1" t="n">
        <v>46283</v>
      </c>
      <c r="F216" t="inlineStr">
        <is>
          <t>JÖNKÖPINGS LÄN</t>
        </is>
      </c>
      <c r="G216" t="inlineStr">
        <is>
          <t>ANEBY</t>
        </is>
      </c>
      <c r="H216" t="inlineStr">
        <is>
          <t>Övriga Aktiebolag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45572</v>
      </c>
      <c r="E217" s="1" t="n">
        <v>46283</v>
      </c>
      <c r="F217" t="inlineStr">
        <is>
          <t>JÖNKÖPINGS LÄN</t>
        </is>
      </c>
      <c r="G217" t="inlineStr">
        <is>
          <t>ANEBY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45124</v>
      </c>
      <c r="E218" s="1" t="n">
        <v>46283</v>
      </c>
      <c r="F218" t="inlineStr">
        <is>
          <t>JÖNKÖPINGS LÄN</t>
        </is>
      </c>
      <c r="G218" t="inlineStr">
        <is>
          <t>ANEBY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27528-2026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46283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46283</v>
      </c>
      <c r="F220" t="inlineStr">
        <is>
          <t>JÖNKÖPINGS LÄN</t>
        </is>
      </c>
      <c r="G220" t="inlineStr">
        <is>
          <t>ANEBY</t>
        </is>
      </c>
      <c r="H220" t="inlineStr">
        <is>
          <t>Övriga Aktiebolag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46185</v>
      </c>
      <c r="E221" s="1" t="n">
        <v>46283</v>
      </c>
      <c r="F221" t="inlineStr">
        <is>
          <t>JÖNKÖPINGS LÄN</t>
        </is>
      </c>
      <c r="G221" t="inlineStr">
        <is>
          <t>ANEBY</t>
        </is>
      </c>
      <c r="H221" t="inlineStr">
        <is>
          <t>Övriga Aktiebolag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45126</v>
      </c>
      <c r="E222" s="1" t="n">
        <v>46283</v>
      </c>
      <c r="F222" t="inlineStr">
        <is>
          <t>JÖNKÖPINGS LÄN</t>
        </is>
      </c>
      <c r="G222" t="inlineStr">
        <is>
          <t>ANEBY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45000</v>
      </c>
      <c r="E223" s="1" t="n">
        <v>46283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46283</v>
      </c>
      <c r="F224" t="inlineStr">
        <is>
          <t>JÖNKÖPINGS LÄN</t>
        </is>
      </c>
      <c r="G224" t="inlineStr">
        <is>
          <t>ANEBY</t>
        </is>
      </c>
      <c r="H224" t="inlineStr">
        <is>
          <t>Övriga Aktiebolag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46283</v>
      </c>
      <c r="F225" t="inlineStr">
        <is>
          <t>JÖNKÖPINGS LÄN</t>
        </is>
      </c>
      <c r="G225" t="inlineStr">
        <is>
          <t>ANEBY</t>
        </is>
      </c>
      <c r="I225" t="n">
        <v>17.9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46283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9066-2024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45357</v>
      </c>
      <c r="E227" s="1" t="n">
        <v>46283</v>
      </c>
      <c r="F227" t="inlineStr">
        <is>
          <t>JÖNKÖPINGS LÄN</t>
        </is>
      </c>
      <c r="G227" t="inlineStr">
        <is>
          <t>ANEBY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45068</v>
      </c>
      <c r="E228" s="1" t="n">
        <v>46283</v>
      </c>
      <c r="F228" t="inlineStr">
        <is>
          <t>JÖNKÖPINGS LÄN</t>
        </is>
      </c>
      <c r="G228" t="inlineStr">
        <is>
          <t>ANEBY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46283</v>
      </c>
      <c r="F229" t="inlineStr">
        <is>
          <t>JÖNKÖPINGS LÄN</t>
        </is>
      </c>
      <c r="G229" t="inlineStr">
        <is>
          <t>ANEBY</t>
        </is>
      </c>
      <c r="H229" t="inlineStr">
        <is>
          <t>Kyrkan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46195</v>
      </c>
      <c r="E230" s="1" t="n">
        <v>46283</v>
      </c>
      <c r="F230" t="inlineStr">
        <is>
          <t>JÖNKÖPINGS LÄN</t>
        </is>
      </c>
      <c r="G230" t="inlineStr">
        <is>
          <t>ANEBY</t>
        </is>
      </c>
      <c r="H230" t="inlineStr">
        <is>
          <t>Kyrkan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46283</v>
      </c>
      <c r="F231" t="inlineStr">
        <is>
          <t>JÖNKÖPINGS LÄN</t>
        </is>
      </c>
      <c r="G231" t="inlineStr">
        <is>
          <t>ANEBY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45616</v>
      </c>
      <c r="E232" s="1" t="n">
        <v>46283</v>
      </c>
      <c r="F232" t="inlineStr">
        <is>
          <t>JÖNKÖPINGS LÄN</t>
        </is>
      </c>
      <c r="G232" t="inlineStr">
        <is>
          <t>ANEBY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46283</v>
      </c>
      <c r="F233" t="inlineStr">
        <is>
          <t>JÖNKÖPINGS LÄN</t>
        </is>
      </c>
      <c r="G233" t="inlineStr">
        <is>
          <t>ANEBY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46283</v>
      </c>
      <c r="F234" t="inlineStr">
        <is>
          <t>JÖNKÖPINGS LÄN</t>
        </is>
      </c>
      <c r="G234" t="inlineStr">
        <is>
          <t>ANEBY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45316</v>
      </c>
      <c r="E235" s="1" t="n">
        <v>46283</v>
      </c>
      <c r="F235" t="inlineStr">
        <is>
          <t>JÖNKÖPINGS LÄN</t>
        </is>
      </c>
      <c r="G235" t="inlineStr">
        <is>
          <t>ANEBY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46283</v>
      </c>
      <c r="F236" t="inlineStr">
        <is>
          <t>JÖNKÖPINGS LÄN</t>
        </is>
      </c>
      <c r="G236" t="inlineStr">
        <is>
          <t>ANEBY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45610</v>
      </c>
      <c r="E237" s="1" t="n">
        <v>46283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10155-2024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45364</v>
      </c>
      <c r="E238" s="1" t="n">
        <v>46283</v>
      </c>
      <c r="F238" t="inlineStr">
        <is>
          <t>JÖNKÖPINGS LÄN</t>
        </is>
      </c>
      <c r="G238" t="inlineStr">
        <is>
          <t>ANEBY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46196</v>
      </c>
      <c r="E239" s="1" t="n">
        <v>46283</v>
      </c>
      <c r="F239" t="inlineStr">
        <is>
          <t>JÖNKÖPINGS LÄN</t>
        </is>
      </c>
      <c r="G239" t="inlineStr">
        <is>
          <t>ANEBY</t>
        </is>
      </c>
      <c r="H239" t="inlineStr">
        <is>
          <t>Kyrkan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45372</v>
      </c>
      <c r="E240" s="1" t="n">
        <v>46283</v>
      </c>
      <c r="F240" t="inlineStr">
        <is>
          <t>JÖNKÖPINGS LÄN</t>
        </is>
      </c>
      <c r="G240" t="inlineStr">
        <is>
          <t>ANEBY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11369-2024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45372</v>
      </c>
      <c r="E241" s="1" t="n">
        <v>46283</v>
      </c>
      <c r="F241" t="inlineStr">
        <is>
          <t>JÖNKÖPINGS LÄN</t>
        </is>
      </c>
      <c r="G241" t="inlineStr">
        <is>
          <t>ANEBY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46283</v>
      </c>
      <c r="F242" t="inlineStr">
        <is>
          <t>JÖNKÖPINGS LÄN</t>
        </is>
      </c>
      <c r="G242" t="inlineStr">
        <is>
          <t>ANEBY</t>
        </is>
      </c>
      <c r="H242" t="inlineStr">
        <is>
          <t>Övriga Aktiebolag</t>
        </is>
      </c>
      <c r="I242" t="n">
        <v>19.6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46283</v>
      </c>
      <c r="F243" t="inlineStr">
        <is>
          <t>JÖNKÖPINGS LÄN</t>
        </is>
      </c>
      <c r="G243" t="inlineStr">
        <is>
          <t>ANEBY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46283</v>
      </c>
      <c r="F244" t="inlineStr">
        <is>
          <t>JÖNKÖPINGS LÄN</t>
        </is>
      </c>
      <c r="G244" t="inlineStr">
        <is>
          <t>ANEBY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46283</v>
      </c>
      <c r="F245" t="inlineStr">
        <is>
          <t>JÖNKÖPINGS LÄN</t>
        </is>
      </c>
      <c r="G245" t="inlineStr">
        <is>
          <t>ANEBY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46283</v>
      </c>
      <c r="F246" t="inlineStr">
        <is>
          <t>JÖNKÖPINGS LÄN</t>
        </is>
      </c>
      <c r="G246" t="inlineStr">
        <is>
          <t>ANEBY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46283</v>
      </c>
      <c r="F247" t="inlineStr">
        <is>
          <t>JÖNKÖPINGS LÄN</t>
        </is>
      </c>
      <c r="G247" t="inlineStr">
        <is>
          <t>ANEBY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45009</v>
      </c>
      <c r="E248" s="1" t="n">
        <v>46283</v>
      </c>
      <c r="F248" t="inlineStr">
        <is>
          <t>JÖNKÖPINGS LÄN</t>
        </is>
      </c>
      <c r="G248" t="inlineStr">
        <is>
          <t>ANEBY</t>
        </is>
      </c>
      <c r="I248" t="n">
        <v>13.8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44705</v>
      </c>
      <c r="E249" s="1" t="n">
        <v>46283</v>
      </c>
      <c r="F249" t="inlineStr">
        <is>
          <t>JÖNKÖPINGS LÄN</t>
        </is>
      </c>
      <c r="G249" t="inlineStr">
        <is>
          <t>ANEBY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45146</v>
      </c>
      <c r="E250" s="1" t="n">
        <v>46283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17380-2022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44678</v>
      </c>
      <c r="E251" s="1" t="n">
        <v>46283</v>
      </c>
      <c r="F251" t="inlineStr">
        <is>
          <t>JÖNKÖPINGS LÄN</t>
        </is>
      </c>
      <c r="G251" t="inlineStr">
        <is>
          <t>ANEBY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44623</v>
      </c>
      <c r="E252" s="1" t="n">
        <v>46283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45404</v>
      </c>
      <c r="E253" s="1" t="n">
        <v>46283</v>
      </c>
      <c r="F253" t="inlineStr">
        <is>
          <t>JÖNKÖPINGS LÄN</t>
        </is>
      </c>
      <c r="G253" t="inlineStr">
        <is>
          <t>ANEBY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44700</v>
      </c>
      <c r="E254" s="1" t="n">
        <v>46283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16506-2022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44671</v>
      </c>
      <c r="E255" s="1" t="n">
        <v>46283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26769-2022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46283</v>
      </c>
      <c r="F256" t="inlineStr">
        <is>
          <t>JÖNKÖPINGS LÄN</t>
        </is>
      </c>
      <c r="G256" t="inlineStr">
        <is>
          <t>ANEBY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34378-2026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46254</v>
      </c>
      <c r="E257" s="1" t="n">
        <v>46283</v>
      </c>
      <c r="F257" t="inlineStr">
        <is>
          <t>JÖNKÖPINGS LÄN</t>
        </is>
      </c>
      <c r="G257" t="inlineStr">
        <is>
          <t>ANEBY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44721</v>
      </c>
      <c r="E258" s="1" t="n">
        <v>46283</v>
      </c>
      <c r="F258" t="inlineStr">
        <is>
          <t>JÖNKÖPINGS LÄN</t>
        </is>
      </c>
      <c r="G258" t="inlineStr">
        <is>
          <t>ANEBY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46254</v>
      </c>
      <c r="E259" s="1" t="n">
        <v>46283</v>
      </c>
      <c r="F259" t="inlineStr">
        <is>
          <t>JÖNKÖPINGS LÄN</t>
        </is>
      </c>
      <c r="G259" t="inlineStr">
        <is>
          <t>ANEBY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46283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45762</v>
      </c>
      <c r="E261" s="1" t="n">
        <v>46283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45993</v>
      </c>
      <c r="E262" s="1" t="n">
        <v>46283</v>
      </c>
      <c r="F262" t="inlineStr">
        <is>
          <t>JÖNKÖPINGS LÄN</t>
        </is>
      </c>
      <c r="G262" t="inlineStr">
        <is>
          <t>ANEBY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34850-2026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46255</v>
      </c>
      <c r="E263" s="1" t="n">
        <v>46283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46214</v>
      </c>
      <c r="E264" s="1" t="n">
        <v>46283</v>
      </c>
      <c r="F264" t="inlineStr">
        <is>
          <t>JÖNKÖPINGS LÄN</t>
        </is>
      </c>
      <c r="G264" t="inlineStr">
        <is>
          <t>ANEBY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46214</v>
      </c>
      <c r="E265" s="1" t="n">
        <v>46283</v>
      </c>
      <c r="F265" t="inlineStr">
        <is>
          <t>JÖNKÖPINGS LÄN</t>
        </is>
      </c>
      <c r="G265" t="inlineStr">
        <is>
          <t>ANEBY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46283</v>
      </c>
      <c r="F266" t="inlineStr">
        <is>
          <t>JÖNKÖPINGS LÄN</t>
        </is>
      </c>
      <c r="G266" t="inlineStr">
        <is>
          <t>ANEBY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45775</v>
      </c>
      <c r="E267" s="1" t="n">
        <v>46283</v>
      </c>
      <c r="F267" t="inlineStr">
        <is>
          <t>JÖNKÖPINGS LÄN</t>
        </is>
      </c>
      <c r="G267" t="inlineStr">
        <is>
          <t>ANEBY</t>
        </is>
      </c>
      <c r="H267" t="inlineStr">
        <is>
          <t>Kyrkan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45300</v>
      </c>
      <c r="E268" s="1" t="n">
        <v>46283</v>
      </c>
      <c r="F268" t="inlineStr">
        <is>
          <t>JÖNKÖPINGS LÄN</t>
        </is>
      </c>
      <c r="G268" t="inlineStr">
        <is>
          <t>ANEBY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19362-2025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45769</v>
      </c>
      <c r="E269" s="1" t="n">
        <v>46283</v>
      </c>
      <c r="F269" t="inlineStr">
        <is>
          <t>JÖNKÖPINGS LÄN</t>
        </is>
      </c>
      <c r="G269" t="inlineStr">
        <is>
          <t>ANEBY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45586</v>
      </c>
      <c r="E270" s="1" t="n">
        <v>46283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18.6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46283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46283</v>
      </c>
      <c r="F272" t="inlineStr">
        <is>
          <t>JÖNKÖPINGS LÄN</t>
        </is>
      </c>
      <c r="G272" t="inlineStr">
        <is>
          <t>ANEBY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45304</v>
      </c>
      <c r="E273" s="1" t="n">
        <v>46283</v>
      </c>
      <c r="F273" t="inlineStr">
        <is>
          <t>JÖNKÖPINGS LÄN</t>
        </is>
      </c>
      <c r="G273" t="inlineStr">
        <is>
          <t>ANEBY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46265</v>
      </c>
      <c r="E274" s="1" t="n">
        <v>46283</v>
      </c>
      <c r="F274" t="inlineStr">
        <is>
          <t>JÖNKÖPINGS LÄN</t>
        </is>
      </c>
      <c r="G274" t="inlineStr">
        <is>
          <t>ANEBY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46265</v>
      </c>
      <c r="E275" s="1" t="n">
        <v>46283</v>
      </c>
      <c r="F275" t="inlineStr">
        <is>
          <t>JÖNKÖPINGS LÄN</t>
        </is>
      </c>
      <c r="G275" t="inlineStr">
        <is>
          <t>ANEBY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46224</v>
      </c>
      <c r="E276" s="1" t="n">
        <v>46283</v>
      </c>
      <c r="F276" t="inlineStr">
        <is>
          <t>JÖNKÖPINGS LÄN</t>
        </is>
      </c>
      <c r="G276" t="inlineStr">
        <is>
          <t>ANEBY</t>
        </is>
      </c>
      <c r="I276" t="n">
        <v>8.699999999999999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45365</v>
      </c>
      <c r="E277" s="1" t="n">
        <v>46283</v>
      </c>
      <c r="F277" t="inlineStr">
        <is>
          <t>JÖNKÖPINGS LÄN</t>
        </is>
      </c>
      <c r="G277" t="inlineStr">
        <is>
          <t>ANEBY</t>
        </is>
      </c>
      <c r="H277" t="inlineStr">
        <is>
          <t>Sveaskog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45763</v>
      </c>
      <c r="E278" s="1" t="n">
        <v>46283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46265</v>
      </c>
      <c r="E279" s="1" t="n">
        <v>46283</v>
      </c>
      <c r="F279" t="inlineStr">
        <is>
          <t>JÖNKÖPINGS LÄN</t>
        </is>
      </c>
      <c r="G279" t="inlineStr">
        <is>
          <t>ANEBY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46283</v>
      </c>
      <c r="F280" t="inlineStr">
        <is>
          <t>JÖNKÖPINGS LÄN</t>
        </is>
      </c>
      <c r="G280" t="inlineStr">
        <is>
          <t>ANEBY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46283</v>
      </c>
      <c r="F281" t="inlineStr">
        <is>
          <t>JÖNKÖPINGS LÄN</t>
        </is>
      </c>
      <c r="G281" t="inlineStr">
        <is>
          <t>ANEBY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44847</v>
      </c>
      <c r="E282" s="1" t="n">
        <v>46283</v>
      </c>
      <c r="F282" t="inlineStr">
        <is>
          <t>JÖNKÖPINGS LÄN</t>
        </is>
      </c>
      <c r="G282" t="inlineStr">
        <is>
          <t>ANEBY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46267</v>
      </c>
      <c r="E283" s="1" t="n">
        <v>46283</v>
      </c>
      <c r="F283" t="inlineStr">
        <is>
          <t>JÖNKÖPINGS LÄN</t>
        </is>
      </c>
      <c r="G283" t="inlineStr">
        <is>
          <t>ANEBY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46283</v>
      </c>
      <c r="F284" t="inlineStr">
        <is>
          <t>JÖNKÖPINGS LÄN</t>
        </is>
      </c>
      <c r="G284" t="inlineStr">
        <is>
          <t>ANEBY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57170-2021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44482</v>
      </c>
      <c r="E285" s="1" t="n">
        <v>46283</v>
      </c>
      <c r="F285" t="inlineStr">
        <is>
          <t>JÖNKÖPINGS LÄN</t>
        </is>
      </c>
      <c r="G285" t="inlineStr">
        <is>
          <t>ANEBY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14323-2024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46283</v>
      </c>
      <c r="F286" t="inlineStr">
        <is>
          <t>JÖNKÖPINGS LÄN</t>
        </is>
      </c>
      <c r="G286" t="inlineStr">
        <is>
          <t>ANEBY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46283</v>
      </c>
      <c r="F287" t="inlineStr">
        <is>
          <t>JÖNKÖPINGS LÄN</t>
        </is>
      </c>
      <c r="G287" t="inlineStr">
        <is>
          <t>ANEBY</t>
        </is>
      </c>
      <c r="H287" t="inlineStr">
        <is>
          <t>Sveaskog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46283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46283</v>
      </c>
      <c r="F289" t="inlineStr">
        <is>
          <t>JÖNKÖPINGS LÄN</t>
        </is>
      </c>
      <c r="G289" t="inlineStr">
        <is>
          <t>ANEBY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46273</v>
      </c>
      <c r="E290" s="1" t="n">
        <v>46283</v>
      </c>
      <c r="F290" t="inlineStr">
        <is>
          <t>JÖNKÖPINGS LÄN</t>
        </is>
      </c>
      <c r="G290" t="inlineStr">
        <is>
          <t>ANEBY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46273</v>
      </c>
      <c r="E291" s="1" t="n">
        <v>46283</v>
      </c>
      <c r="F291" t="inlineStr">
        <is>
          <t>JÖNKÖPINGS LÄN</t>
        </is>
      </c>
      <c r="G291" t="inlineStr">
        <is>
          <t>ANEBY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46283</v>
      </c>
      <c r="F292" t="inlineStr">
        <is>
          <t>JÖNKÖPINGS LÄN</t>
        </is>
      </c>
      <c r="G292" t="inlineStr">
        <is>
          <t>ANEBY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63991-2025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46021</v>
      </c>
      <c r="E293" s="1" t="n">
        <v>46283</v>
      </c>
      <c r="F293" t="inlineStr">
        <is>
          <t>JÖNKÖPINGS LÄN</t>
        </is>
      </c>
      <c r="G293" t="inlineStr">
        <is>
          <t>ANEBY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67414-2021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44524</v>
      </c>
      <c r="E294" s="1" t="n">
        <v>46283</v>
      </c>
      <c r="F294" t="inlineStr">
        <is>
          <t>JÖNKÖPINGS LÄN</t>
        </is>
      </c>
      <c r="G294" t="inlineStr">
        <is>
          <t>ANEBY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44565</v>
      </c>
      <c r="E295" s="1" t="n">
        <v>46283</v>
      </c>
      <c r="F295" t="inlineStr">
        <is>
          <t>JÖNKÖPINGS LÄN</t>
        </is>
      </c>
      <c r="G295" t="inlineStr">
        <is>
          <t>ANEBY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63992-2025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46021</v>
      </c>
      <c r="E296" s="1" t="n">
        <v>46283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44985</v>
      </c>
      <c r="E297" s="1" t="n">
        <v>46283</v>
      </c>
      <c r="F297" t="inlineStr">
        <is>
          <t>JÖNKÖPINGS LÄN</t>
        </is>
      </c>
      <c r="G297" t="inlineStr">
        <is>
          <t>ANEBY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44952</v>
      </c>
      <c r="E298" s="1" t="n">
        <v>46283</v>
      </c>
      <c r="F298" t="inlineStr">
        <is>
          <t>JÖNKÖPINGS LÄN</t>
        </is>
      </c>
      <c r="G298" t="inlineStr">
        <is>
          <t>ANEBY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46283</v>
      </c>
      <c r="F299" t="inlineStr">
        <is>
          <t>JÖNKÖPINGS LÄN</t>
        </is>
      </c>
      <c r="G299" t="inlineStr">
        <is>
          <t>ANEBY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4836-2023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44957</v>
      </c>
      <c r="E300" s="1" t="n">
        <v>46283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35773-2023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45148</v>
      </c>
      <c r="E301" s="1" t="n">
        <v>46283</v>
      </c>
      <c r="F301" t="inlineStr">
        <is>
          <t>JÖNKÖPINGS LÄN</t>
        </is>
      </c>
      <c r="G301" t="inlineStr">
        <is>
          <t>ANEBY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55688-2022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44888</v>
      </c>
      <c r="E302" s="1" t="n">
        <v>46283</v>
      </c>
      <c r="F302" t="inlineStr">
        <is>
          <t>JÖNKÖPINGS LÄN</t>
        </is>
      </c>
      <c r="G302" t="inlineStr">
        <is>
          <t>ANEBY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46283</v>
      </c>
      <c r="F303" t="inlineStr">
        <is>
          <t>JÖNKÖPINGS LÄN</t>
        </is>
      </c>
      <c r="G303" t="inlineStr">
        <is>
          <t>ANEBY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46283</v>
      </c>
      <c r="F304" t="inlineStr">
        <is>
          <t>JÖNKÖPINGS LÄN</t>
        </is>
      </c>
      <c r="G304" t="inlineStr">
        <is>
          <t>ANEBY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46283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46283</v>
      </c>
      <c r="F306" t="inlineStr">
        <is>
          <t>JÖNKÖPINGS LÄN</t>
        </is>
      </c>
      <c r="G306" t="inlineStr">
        <is>
          <t>ANEBY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45300</v>
      </c>
      <c r="E307" s="1" t="n">
        <v>46283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46283</v>
      </c>
      <c r="F308" t="inlineStr">
        <is>
          <t>JÖNKÖPINGS LÄN</t>
        </is>
      </c>
      <c r="G308" t="inlineStr">
        <is>
          <t>ANEBY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46283</v>
      </c>
      <c r="F309" t="inlineStr">
        <is>
          <t>JÖNKÖPINGS LÄN</t>
        </is>
      </c>
      <c r="G309" t="inlineStr">
        <is>
          <t>ANEBY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46283</v>
      </c>
      <c r="F310" t="inlineStr">
        <is>
          <t>JÖNKÖPINGS LÄN</t>
        </is>
      </c>
      <c r="G310" t="inlineStr">
        <is>
          <t>ANEBY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9917-2022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46283</v>
      </c>
      <c r="F311" t="inlineStr">
        <is>
          <t>JÖNKÖPINGS LÄN</t>
        </is>
      </c>
      <c r="G311" t="inlineStr">
        <is>
          <t>ANEBY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46051</v>
      </c>
      <c r="E312" s="1" t="n">
        <v>46283</v>
      </c>
      <c r="F312" t="inlineStr">
        <is>
          <t>JÖNKÖPINGS LÄN</t>
        </is>
      </c>
      <c r="G312" t="inlineStr">
        <is>
          <t>ANEBY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21026-2024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45439</v>
      </c>
      <c r="E313" s="1" t="n">
        <v>46283</v>
      </c>
      <c r="F313" t="inlineStr">
        <is>
          <t>JÖNKÖPINGS LÄN</t>
        </is>
      </c>
      <c r="G313" t="inlineStr">
        <is>
          <t>ANEBY</t>
        </is>
      </c>
      <c r="H313" t="inlineStr">
        <is>
          <t>Sveaskog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46056</v>
      </c>
      <c r="E314" s="1" t="n">
        <v>46283</v>
      </c>
      <c r="F314" t="inlineStr">
        <is>
          <t>JÖNKÖPINGS LÄN</t>
        </is>
      </c>
      <c r="G314" t="inlineStr">
        <is>
          <t>ANEBY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6827-2026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46057</v>
      </c>
      <c r="E315" s="1" t="n">
        <v>46283</v>
      </c>
      <c r="F315" t="inlineStr">
        <is>
          <t>JÖNKÖPINGS LÄN</t>
        </is>
      </c>
      <c r="G315" t="inlineStr">
        <is>
          <t>ANEBY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46283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7263-2026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46058</v>
      </c>
      <c r="E317" s="1" t="n">
        <v>46283</v>
      </c>
      <c r="F317" t="inlineStr">
        <is>
          <t>JÖNKÖPINGS LÄN</t>
        </is>
      </c>
      <c r="G317" t="inlineStr">
        <is>
          <t>ANEBY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6873-2026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46057</v>
      </c>
      <c r="E318" s="1" t="n">
        <v>46283</v>
      </c>
      <c r="F318" t="inlineStr">
        <is>
          <t>JÖNKÖPINGS LÄN</t>
        </is>
      </c>
      <c r="G318" t="inlineStr">
        <is>
          <t>ANEBY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44985</v>
      </c>
      <c r="E319" s="1" t="n">
        <v>46283</v>
      </c>
      <c r="F319" t="inlineStr">
        <is>
          <t>JÖNKÖPINGS LÄN</t>
        </is>
      </c>
      <c r="G319" t="inlineStr">
        <is>
          <t>ANEBY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46057</v>
      </c>
      <c r="E320" s="1" t="n">
        <v>46283</v>
      </c>
      <c r="F320" t="inlineStr">
        <is>
          <t>JÖNKÖPINGS LÄN</t>
        </is>
      </c>
      <c r="G320" t="inlineStr">
        <is>
          <t>ANEBY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46283</v>
      </c>
      <c r="F321" t="inlineStr">
        <is>
          <t>JÖNKÖPINGS LÄN</t>
        </is>
      </c>
      <c r="G321" t="inlineStr">
        <is>
          <t>ANEBY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7514-2026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46283</v>
      </c>
      <c r="F322" t="inlineStr">
        <is>
          <t>JÖNKÖPINGS LÄN</t>
        </is>
      </c>
      <c r="G322" t="inlineStr">
        <is>
          <t>ANEBY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10456-2023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44981</v>
      </c>
      <c r="E323" s="1" t="n">
        <v>46283</v>
      </c>
      <c r="F323" t="inlineStr">
        <is>
          <t>JÖNKÖPINGS LÄN</t>
        </is>
      </c>
      <c r="G323" t="inlineStr">
        <is>
          <t>ANEBY</t>
        </is>
      </c>
      <c r="H323" t="inlineStr">
        <is>
          <t>Övriga Aktiebolag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45665</v>
      </c>
      <c r="E324" s="1" t="n">
        <v>46283</v>
      </c>
      <c r="F324" t="inlineStr">
        <is>
          <t>JÖNKÖPINGS LÄN</t>
        </is>
      </c>
      <c r="G324" t="inlineStr">
        <is>
          <t>ANEBY</t>
        </is>
      </c>
      <c r="H324" t="inlineStr">
        <is>
          <t>Sveaskog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9540-2024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45359</v>
      </c>
      <c r="E325" s="1" t="n">
        <v>46283</v>
      </c>
      <c r="F325" t="inlineStr">
        <is>
          <t>JÖNKÖPINGS LÄN</t>
        </is>
      </c>
      <c r="G325" t="inlineStr">
        <is>
          <t>ANEBY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45146</v>
      </c>
      <c r="E326" s="1" t="n">
        <v>46283</v>
      </c>
      <c r="F326" t="inlineStr">
        <is>
          <t>JÖNKÖPINGS LÄN</t>
        </is>
      </c>
      <c r="G326" t="inlineStr">
        <is>
          <t>ANEBY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45363</v>
      </c>
      <c r="E327" s="1" t="n">
        <v>46283</v>
      </c>
      <c r="F327" t="inlineStr">
        <is>
          <t>JÖNKÖPINGS LÄN</t>
        </is>
      </c>
      <c r="G327" t="inlineStr">
        <is>
          <t>ANEBY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45378</v>
      </c>
      <c r="E328" s="1" t="n">
        <v>46283</v>
      </c>
      <c r="F328" t="inlineStr">
        <is>
          <t>JÖNKÖPINGS LÄN</t>
        </is>
      </c>
      <c r="G328" t="inlineStr">
        <is>
          <t>ANEBY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45033</v>
      </c>
      <c r="E329" s="1" t="n">
        <v>46283</v>
      </c>
      <c r="F329" t="inlineStr">
        <is>
          <t>JÖNKÖPINGS LÄN</t>
        </is>
      </c>
      <c r="G329" t="inlineStr">
        <is>
          <t>ANEBY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44978</v>
      </c>
      <c r="E330" s="1" t="n">
        <v>46283</v>
      </c>
      <c r="F330" t="inlineStr">
        <is>
          <t>JÖNKÖPINGS LÄN</t>
        </is>
      </c>
      <c r="G330" t="inlineStr">
        <is>
          <t>ANEBY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17082-2024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45412</v>
      </c>
      <c r="E331" s="1" t="n">
        <v>46283</v>
      </c>
      <c r="F331" t="inlineStr">
        <is>
          <t>JÖNKÖPINGS LÄN</t>
        </is>
      </c>
      <c r="G331" t="inlineStr">
        <is>
          <t>ANEBY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45097</v>
      </c>
      <c r="E332" s="1" t="n">
        <v>46283</v>
      </c>
      <c r="F332" t="inlineStr">
        <is>
          <t>JÖNKÖPINGS LÄN</t>
        </is>
      </c>
      <c r="G332" t="inlineStr">
        <is>
          <t>ANEBY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46283</v>
      </c>
      <c r="F333" t="inlineStr">
        <is>
          <t>JÖNKÖPINGS LÄN</t>
        </is>
      </c>
      <c r="G333" t="inlineStr">
        <is>
          <t>ANEBY</t>
        </is>
      </c>
      <c r="H333" t="inlineStr">
        <is>
          <t>Sveaskog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45408</v>
      </c>
      <c r="E334" s="1" t="n">
        <v>46283</v>
      </c>
      <c r="F334" t="inlineStr">
        <is>
          <t>JÖNKÖPINGS LÄN</t>
        </is>
      </c>
      <c r="G334" t="inlineStr">
        <is>
          <t>ANEBY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23712-2023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46283</v>
      </c>
      <c r="F335" t="inlineStr">
        <is>
          <t>JÖNKÖPINGS LÄN</t>
        </is>
      </c>
      <c r="G335" t="inlineStr">
        <is>
          <t>ANEBY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36690-2024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45537</v>
      </c>
      <c r="E336" s="1" t="n">
        <v>46283</v>
      </c>
      <c r="F336" t="inlineStr">
        <is>
          <t>JÖNKÖPINGS LÄN</t>
        </is>
      </c>
      <c r="G336" t="inlineStr">
        <is>
          <t>ANEBY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46283</v>
      </c>
      <c r="F337" t="inlineStr">
        <is>
          <t>JÖNKÖPINGS LÄN</t>
        </is>
      </c>
      <c r="G337" t="inlineStr">
        <is>
          <t>ANEBY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46283</v>
      </c>
      <c r="F338" t="inlineStr">
        <is>
          <t>JÖNKÖPINGS LÄN</t>
        </is>
      </c>
      <c r="G338" t="inlineStr">
        <is>
          <t>ANEBY</t>
        </is>
      </c>
      <c r="H338" t="inlineStr">
        <is>
          <t>Kyrkan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45001</v>
      </c>
      <c r="E339" s="1" t="n">
        <v>46283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46283</v>
      </c>
      <c r="F340" t="inlineStr">
        <is>
          <t>JÖNKÖPINGS LÄN</t>
        </is>
      </c>
      <c r="G340" t="inlineStr">
        <is>
          <t>ANEBY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45594</v>
      </c>
      <c r="E341" s="1" t="n">
        <v>46283</v>
      </c>
      <c r="F341" t="inlineStr">
        <is>
          <t>JÖNKÖPINGS LÄN</t>
        </is>
      </c>
      <c r="G341" t="inlineStr">
        <is>
          <t>ANEBY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47118-2023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46283</v>
      </c>
      <c r="F342" t="inlineStr">
        <is>
          <t>JÖNKÖPINGS LÄN</t>
        </is>
      </c>
      <c r="G342" t="inlineStr">
        <is>
          <t>ANEBY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45398</v>
      </c>
      <c r="E343" s="1" t="n">
        <v>46283</v>
      </c>
      <c r="F343" t="inlineStr">
        <is>
          <t>JÖNKÖPINGS LÄN</t>
        </is>
      </c>
      <c r="G343" t="inlineStr">
        <is>
          <t>ANEBY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45796</v>
      </c>
      <c r="E344" s="1" t="n">
        <v>46283</v>
      </c>
      <c r="F344" t="inlineStr">
        <is>
          <t>JÖNKÖPINGS LÄN</t>
        </is>
      </c>
      <c r="G344" t="inlineStr">
        <is>
          <t>ANEBY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45531</v>
      </c>
      <c r="E345" s="1" t="n">
        <v>46283</v>
      </c>
      <c r="F345" t="inlineStr">
        <is>
          <t>JÖNKÖPINGS LÄN</t>
        </is>
      </c>
      <c r="G345" t="inlineStr">
        <is>
          <t>ANEBY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27205-2025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45812</v>
      </c>
      <c r="E346" s="1" t="n">
        <v>46283</v>
      </c>
      <c r="F346" t="inlineStr">
        <is>
          <t>JÖNKÖPINGS LÄN</t>
        </is>
      </c>
      <c r="G346" t="inlineStr">
        <is>
          <t>ANEBY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805-2022</t>
        </is>
      </c>
      <c r="B347" t="inlineStr">
        <is>
          <t>samrådsanmälan</t>
        </is>
      </c>
      <c r="C347" t="inlineStr">
        <is>
          <t>Skogsbilväg</t>
        </is>
      </c>
      <c r="D347" s="1" t="n">
        <v>44603</v>
      </c>
      <c r="E347" s="1" t="n">
        <v>46283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46283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46283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46283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46283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46283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46283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46283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46283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46283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46283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46283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46283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46283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2026-09-18T02:03:48Z</dcterms:created>
  <dcterms:modified xmlns:dcterms="http://purl.org/dc/terms/" xmlns:xsi="http://www.w3.org/2001/XMLSchema-instance" xsi:type="dcterms:W3CDTF">2026-09-18T02:03:48Z</dcterms:modified>
</cp:coreProperties>
</file>